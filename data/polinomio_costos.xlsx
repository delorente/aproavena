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hidePivotFieldList="1"/>
  <xr:revisionPtr revIDLastSave="0" documentId="8_{25243DB9-3BC7-483E-BB3C-EE2BA0EB4136}" xr6:coauthVersionLast="47" xr6:coauthVersionMax="47" xr10:uidLastSave="{00000000-0000-0000-0000-000000000000}"/>
  <bookViews>
    <workbookView xWindow="240" yWindow="105" windowWidth="14805" windowHeight="8010" xr2:uid="{00000000-000D-0000-FFFF-FFFF00000000}"/>
  </bookViews>
  <sheets>
    <sheet name="Base_DDatos" sheetId="3" r:id="rId1"/>
    <sheet name="Diccionario_Metodologic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3" l="1"/>
  <c r="W2" i="3"/>
  <c r="Z15" i="3"/>
  <c r="AE14" i="3"/>
  <c r="M34" i="3"/>
  <c r="L35" i="3"/>
  <c r="L34" i="3"/>
  <c r="K34" i="3"/>
  <c r="K32" i="3"/>
  <c r="AD31" i="3"/>
  <c r="K35" i="3"/>
  <c r="K39" i="3"/>
  <c r="K38" i="3"/>
  <c r="K37" i="3"/>
  <c r="K36" i="3"/>
  <c r="K33" i="3"/>
  <c r="L39" i="3"/>
  <c r="L38" i="3"/>
  <c r="L37" i="3"/>
  <c r="M37" i="3" s="1"/>
  <c r="L36" i="3"/>
  <c r="L33" i="3"/>
  <c r="L32" i="3"/>
  <c r="AD39" i="3"/>
  <c r="R39" i="3"/>
  <c r="T39" i="3" s="1"/>
  <c r="M39" i="3"/>
  <c r="C39" i="3"/>
  <c r="AD38" i="3"/>
  <c r="R38" i="3"/>
  <c r="T38" i="3" s="1"/>
  <c r="M38" i="3"/>
  <c r="C38" i="3"/>
  <c r="AD37" i="3"/>
  <c r="R37" i="3"/>
  <c r="T37" i="3" s="1"/>
  <c r="C37" i="3"/>
  <c r="AD36" i="3"/>
  <c r="R36" i="3"/>
  <c r="T36" i="3" s="1"/>
  <c r="M36" i="3"/>
  <c r="C36" i="3"/>
  <c r="AD35" i="3"/>
  <c r="T35" i="3"/>
  <c r="M35" i="3"/>
  <c r="C35" i="3"/>
  <c r="AD34" i="3"/>
  <c r="T34" i="3"/>
  <c r="C34" i="3"/>
  <c r="AD33" i="3"/>
  <c r="T33" i="3"/>
  <c r="M33" i="3"/>
  <c r="C33" i="3"/>
  <c r="AD32" i="3"/>
  <c r="T32" i="3"/>
  <c r="M32" i="3"/>
  <c r="C32" i="3"/>
  <c r="R31" i="3"/>
  <c r="T31" i="3" s="1"/>
  <c r="M31" i="3"/>
  <c r="U31" i="3" s="1"/>
  <c r="W31" i="3" s="1"/>
  <c r="C31" i="3"/>
  <c r="AD30" i="3"/>
  <c r="R30" i="3"/>
  <c r="T30" i="3" s="1"/>
  <c r="M30" i="3"/>
  <c r="U30" i="3" s="1"/>
  <c r="W30" i="3" s="1"/>
  <c r="C30" i="3"/>
  <c r="AD29" i="3"/>
  <c r="T29" i="3"/>
  <c r="M29" i="3"/>
  <c r="U29" i="3" s="1"/>
  <c r="W29" i="3" s="1"/>
  <c r="C29" i="3"/>
  <c r="AD28" i="3"/>
  <c r="T28" i="3"/>
  <c r="M28" i="3"/>
  <c r="U28" i="3" s="1"/>
  <c r="W28" i="3" s="1"/>
  <c r="C28" i="3"/>
  <c r="AD27" i="3"/>
  <c r="T27" i="3"/>
  <c r="M27" i="3"/>
  <c r="U27" i="3" s="1"/>
  <c r="W27" i="3" s="1"/>
  <c r="C27" i="3"/>
  <c r="AD26" i="3"/>
  <c r="T26" i="3"/>
  <c r="M26" i="3"/>
  <c r="U26" i="3" s="1"/>
  <c r="W26" i="3" s="1"/>
  <c r="C26" i="3"/>
  <c r="AD25" i="3"/>
  <c r="R25" i="3"/>
  <c r="T25" i="3" s="1"/>
  <c r="M25" i="3"/>
  <c r="U25" i="3" s="1"/>
  <c r="W25" i="3" s="1"/>
  <c r="C25" i="3"/>
  <c r="AD24" i="3"/>
  <c r="R24" i="3"/>
  <c r="T24" i="3" s="1"/>
  <c r="M24" i="3"/>
  <c r="U24" i="3" s="1"/>
  <c r="W24" i="3" s="1"/>
  <c r="C24" i="3"/>
  <c r="AD23" i="3"/>
  <c r="R23" i="3"/>
  <c r="T23" i="3" s="1"/>
  <c r="M23" i="3"/>
  <c r="U23" i="3" s="1"/>
  <c r="W23" i="3" s="1"/>
  <c r="C23" i="3"/>
  <c r="AD22" i="3"/>
  <c r="R22" i="3"/>
  <c r="T22" i="3" s="1"/>
  <c r="M22" i="3"/>
  <c r="U22" i="3" s="1"/>
  <c r="W22" i="3" s="1"/>
  <c r="C22" i="3"/>
  <c r="AD21" i="3"/>
  <c r="R21" i="3"/>
  <c r="T21" i="3" s="1"/>
  <c r="M21" i="3"/>
  <c r="U21" i="3" s="1"/>
  <c r="W21" i="3" s="1"/>
  <c r="C21" i="3"/>
  <c r="AD20" i="3"/>
  <c r="R20" i="3"/>
  <c r="T20" i="3" s="1"/>
  <c r="M20" i="3"/>
  <c r="U20" i="3" s="1"/>
  <c r="W20" i="3" s="1"/>
  <c r="C20" i="3"/>
  <c r="AD19" i="3"/>
  <c r="T19" i="3"/>
  <c r="M19" i="3"/>
  <c r="U19" i="3" s="1"/>
  <c r="W19" i="3" s="1"/>
  <c r="C19" i="3"/>
  <c r="AD18" i="3"/>
  <c r="T18" i="3"/>
  <c r="M18" i="3"/>
  <c r="U18" i="3" s="1"/>
  <c r="W18" i="3" s="1"/>
  <c r="C18" i="3"/>
  <c r="AD17" i="3"/>
  <c r="R17" i="3"/>
  <c r="T17" i="3" s="1"/>
  <c r="M17" i="3"/>
  <c r="U17" i="3" s="1"/>
  <c r="W17" i="3" s="1"/>
  <c r="C17" i="3"/>
  <c r="AD16" i="3"/>
  <c r="R16" i="3"/>
  <c r="T16" i="3" s="1"/>
  <c r="M16" i="3"/>
  <c r="U16" i="3" s="1"/>
  <c r="W16" i="3" s="1"/>
  <c r="C16" i="3"/>
  <c r="AD15" i="3"/>
  <c r="R15" i="3"/>
  <c r="T15" i="3" s="1"/>
  <c r="M15" i="3"/>
  <c r="U15" i="3" s="1"/>
  <c r="W15" i="3" s="1"/>
  <c r="C15" i="3"/>
  <c r="AD14" i="3"/>
  <c r="R14" i="3"/>
  <c r="T14" i="3" s="1"/>
  <c r="M14" i="3"/>
  <c r="U14" i="3" s="1"/>
  <c r="W14" i="3" s="1"/>
  <c r="C14" i="3"/>
  <c r="AD13" i="3"/>
  <c r="R13" i="3"/>
  <c r="T13" i="3" s="1"/>
  <c r="M13" i="3"/>
  <c r="U13" i="3" s="1"/>
  <c r="W13" i="3" s="1"/>
  <c r="C13" i="3"/>
  <c r="AD12" i="3"/>
  <c r="R12" i="3"/>
  <c r="T12" i="3" s="1"/>
  <c r="M12" i="3"/>
  <c r="U12" i="3" s="1"/>
  <c r="W12" i="3" s="1"/>
  <c r="C12" i="3"/>
  <c r="AD11" i="3"/>
  <c r="T11" i="3"/>
  <c r="M11" i="3"/>
  <c r="C11" i="3"/>
  <c r="AD10" i="3"/>
  <c r="T10" i="3"/>
  <c r="M10" i="3"/>
  <c r="U10" i="3" s="1"/>
  <c r="W10" i="3" s="1"/>
  <c r="C10" i="3"/>
  <c r="AD9" i="3"/>
  <c r="O9" i="3"/>
  <c r="M9" i="3"/>
  <c r="C9" i="3"/>
  <c r="AD8" i="3"/>
  <c r="O8" i="3"/>
  <c r="M8" i="3"/>
  <c r="C8" i="3"/>
  <c r="AD7" i="3"/>
  <c r="O7" i="3"/>
  <c r="M7" i="3"/>
  <c r="C7" i="3"/>
  <c r="AD6" i="3"/>
  <c r="O6" i="3"/>
  <c r="M6" i="3"/>
  <c r="C6" i="3"/>
  <c r="AD5" i="3"/>
  <c r="O5" i="3"/>
  <c r="R5" i="3" s="1"/>
  <c r="M5" i="3"/>
  <c r="C5" i="3"/>
  <c r="AD4" i="3"/>
  <c r="O4" i="3"/>
  <c r="M4" i="3"/>
  <c r="C4" i="3"/>
  <c r="AD3" i="3"/>
  <c r="T3" i="3"/>
  <c r="M3" i="3"/>
  <c r="U3" i="3" s="1"/>
  <c r="W3" i="3" s="1"/>
  <c r="C3" i="3"/>
  <c r="AD2" i="3"/>
  <c r="T2" i="3"/>
  <c r="M2" i="3"/>
  <c r="C2" i="3"/>
  <c r="U11" i="3" l="1"/>
  <c r="W11" i="3" s="1"/>
  <c r="Z11" i="3"/>
  <c r="U2" i="3"/>
  <c r="U33" i="3"/>
  <c r="W33" i="3" s="1"/>
  <c r="U34" i="3"/>
  <c r="W34" i="3" s="1"/>
  <c r="U35" i="3"/>
  <c r="W35" i="3" s="1"/>
  <c r="U36" i="3"/>
  <c r="W36" i="3" s="1"/>
  <c r="U37" i="3"/>
  <c r="W37" i="3" s="1"/>
  <c r="U38" i="3"/>
  <c r="W38" i="3" s="1"/>
  <c r="U39" i="3"/>
  <c r="W39" i="3" s="1"/>
  <c r="U32" i="3"/>
  <c r="W32" i="3" s="1"/>
  <c r="R4" i="3"/>
  <c r="T4" i="3" s="1"/>
  <c r="U4" i="3" s="1"/>
  <c r="W4" i="3" s="1"/>
  <c r="T5" i="3"/>
  <c r="U5" i="3" s="1"/>
  <c r="W5" i="3" s="1"/>
  <c r="R6" i="3"/>
  <c r="T6" i="3" s="1"/>
  <c r="U6" i="3" s="1"/>
  <c r="W6" i="3" s="1"/>
  <c r="R7" i="3"/>
  <c r="T7" i="3" s="1"/>
  <c r="U7" i="3" s="1"/>
  <c r="W7" i="3" s="1"/>
  <c r="R8" i="3"/>
  <c r="T8" i="3" s="1"/>
  <c r="U8" i="3" s="1"/>
  <c r="W8" i="3" s="1"/>
  <c r="R9" i="3"/>
  <c r="T9" i="3" s="1"/>
  <c r="U9" i="3" s="1"/>
  <c r="W9" i="3" s="1"/>
  <c r="AE2" i="3"/>
  <c r="Z3" i="3"/>
  <c r="AE3" i="3" s="1"/>
  <c r="Z4" i="3"/>
  <c r="Z5" i="3"/>
  <c r="Z6" i="3"/>
  <c r="Z7" i="3"/>
  <c r="Z8" i="3"/>
  <c r="Z9" i="3"/>
  <c r="Z10" i="3"/>
  <c r="AE10" i="3" s="1"/>
  <c r="AE11" i="3"/>
  <c r="Z12" i="3"/>
  <c r="AE12" i="3" s="1"/>
  <c r="Z13" i="3"/>
  <c r="AE13" i="3" s="1"/>
  <c r="AE15" i="3"/>
  <c r="Z16" i="3"/>
  <c r="AE16" i="3" s="1"/>
  <c r="Z17" i="3"/>
  <c r="AE17" i="3" s="1"/>
  <c r="Z18" i="3"/>
  <c r="AE18" i="3" s="1"/>
  <c r="Z19" i="3"/>
  <c r="AE19" i="3" s="1"/>
  <c r="Z20" i="3"/>
  <c r="AE20" i="3" s="1"/>
  <c r="Z21" i="3"/>
  <c r="AE21" i="3" s="1"/>
  <c r="Z22" i="3"/>
  <c r="AE22" i="3" s="1"/>
  <c r="Z23" i="3"/>
  <c r="AE23" i="3" s="1"/>
  <c r="Z24" i="3"/>
  <c r="AE24" i="3" s="1"/>
  <c r="Z25" i="3"/>
  <c r="AE25" i="3" s="1"/>
  <c r="Z26" i="3"/>
  <c r="AE26" i="3" s="1"/>
  <c r="Z27" i="3"/>
  <c r="AE27" i="3" s="1"/>
  <c r="Z28" i="3"/>
  <c r="AE28" i="3" s="1"/>
  <c r="Z29" i="3"/>
  <c r="AE29" i="3" s="1"/>
  <c r="Z30" i="3"/>
  <c r="AE30" i="3" s="1"/>
  <c r="Z31" i="3"/>
  <c r="AE31" i="3" s="1"/>
  <c r="Z32" i="3"/>
  <c r="AE32" i="3" s="1"/>
  <c r="Z33" i="3"/>
  <c r="AE33" i="3" s="1"/>
  <c r="Z34" i="3"/>
  <c r="AE34" i="3" s="1"/>
  <c r="Z35" i="3"/>
  <c r="AE35" i="3" s="1"/>
  <c r="Z36" i="3"/>
  <c r="AE36" i="3" s="1"/>
  <c r="Z37" i="3"/>
  <c r="AE37" i="3" s="1"/>
  <c r="Z38" i="3"/>
  <c r="AE38" i="3" s="1"/>
  <c r="Z39" i="3"/>
  <c r="AE39" i="3" s="1"/>
  <c r="AE9" i="3" l="1"/>
  <c r="AE8" i="3"/>
  <c r="AE7" i="3"/>
  <c r="AE6" i="3"/>
  <c r="AE5" i="3"/>
  <c r="AE4" i="3"/>
</calcChain>
</file>

<file path=xl/sharedStrings.xml><?xml version="1.0" encoding="utf-8"?>
<sst xmlns="http://schemas.openxmlformats.org/spreadsheetml/2006/main" count="421" uniqueCount="162">
  <si>
    <t>IdEvento</t>
  </si>
  <si>
    <t>IdHecho</t>
  </si>
  <si>
    <t>Producto</t>
  </si>
  <si>
    <t>Densidad</t>
  </si>
  <si>
    <t>Pais</t>
  </si>
  <si>
    <t>Puerto de Salida</t>
  </si>
  <si>
    <t>Puerto de Entrada</t>
  </si>
  <si>
    <t>Contenedor Internacional</t>
  </si>
  <si>
    <t>Participacion Mercado EEUU</t>
  </si>
  <si>
    <t>Posición</t>
  </si>
  <si>
    <t>Total USD</t>
  </si>
  <si>
    <t>Total Ton</t>
  </si>
  <si>
    <t>FOB USD/ton</t>
  </si>
  <si>
    <t>Costos portuarios origen</t>
  </si>
  <si>
    <t>Flete marítimo internacional</t>
  </si>
  <si>
    <t>Costos portuarios destino (EE. UU.)</t>
  </si>
  <si>
    <t>Transporte ferroviario</t>
  </si>
  <si>
    <t>Flete Internacional Total USD</t>
  </si>
  <si>
    <t>Toneladas por Contenedor Internacional</t>
  </si>
  <si>
    <t>Flete Internacional USD/ton</t>
  </si>
  <si>
    <t>Valor asegurado</t>
  </si>
  <si>
    <t>Tasa seguro</t>
  </si>
  <si>
    <t>Costo Seguro Internacional</t>
  </si>
  <si>
    <t>Tipo Arancel</t>
  </si>
  <si>
    <t>Arancel</t>
  </si>
  <si>
    <t>Costo Arancel USD/ton</t>
  </si>
  <si>
    <t>Barreras M.A y otras</t>
  </si>
  <si>
    <t>Costos Minimos M.A y otros</t>
  </si>
  <si>
    <t>Costos Maximo M.A y otros</t>
  </si>
  <si>
    <t>Promedio Costos M.A y otros</t>
  </si>
  <si>
    <t>Costo Total USD/ton</t>
  </si>
  <si>
    <t>CIF Data</t>
  </si>
  <si>
    <t>Canada</t>
  </si>
  <si>
    <t>Saskatoon</t>
  </si>
  <si>
    <t>Cedar Rapids</t>
  </si>
  <si>
    <t>Carload</t>
  </si>
  <si>
    <t>Arancel Base</t>
  </si>
  <si>
    <t>Baja</t>
  </si>
  <si>
    <t>Arancel Trump</t>
  </si>
  <si>
    <t>Estonia</t>
  </si>
  <si>
    <t>Tallinn</t>
  </si>
  <si>
    <t>Norfolk</t>
  </si>
  <si>
    <t>Bulk</t>
  </si>
  <si>
    <t>Alta</t>
  </si>
  <si>
    <t>Sweden</t>
  </si>
  <si>
    <t>Gothemburg</t>
  </si>
  <si>
    <t>Chile</t>
  </si>
  <si>
    <t>Rosario</t>
  </si>
  <si>
    <t>Dominican Rep.</t>
  </si>
  <si>
    <t>Caucedo</t>
  </si>
  <si>
    <t>Houston</t>
  </si>
  <si>
    <t>40'</t>
  </si>
  <si>
    <t>Ireland</t>
  </si>
  <si>
    <t>Dublin</t>
  </si>
  <si>
    <t>1,2 ¢/kg</t>
  </si>
  <si>
    <t>San Antonio</t>
  </si>
  <si>
    <t>Türkiye</t>
  </si>
  <si>
    <t>Istambul</t>
  </si>
  <si>
    <t>20'</t>
  </si>
  <si>
    <t>Italy</t>
  </si>
  <si>
    <t>Civitavecchia</t>
  </si>
  <si>
    <t>Seattle</t>
  </si>
  <si>
    <t>Mexico</t>
  </si>
  <si>
    <t>Ciudad de Mexico</t>
  </si>
  <si>
    <t>Laredo</t>
  </si>
  <si>
    <t>Rep. of Korea</t>
  </si>
  <si>
    <t>Busan</t>
  </si>
  <si>
    <t>Columna</t>
  </si>
  <si>
    <t>Tooltip</t>
  </si>
  <si>
    <t>Unidad</t>
  </si>
  <si>
    <t>Fuente principal</t>
  </si>
  <si>
    <t>Nota técnica / criterio de cálculo</t>
  </si>
  <si>
    <t>Tipo específico de avena exportada, definido según su código arancelario HS (Sistema Armonizado). Permite segmentar el análisis por categoría logística y comercial (avena en grano, hojuelas, harina, cereales, bebidas).</t>
  </si>
  <si>
    <t>—</t>
  </si>
  <si>
    <t>USITC / UN Comtrade</t>
  </si>
  <si>
    <t>Determina estructura de costos y régimen arancelario</t>
  </si>
  <si>
    <t>Densidad ton/ m3</t>
  </si>
  <si>
    <t>Relación entre masa y volumen del producto. Se utiliza para calcular las toneladas efectivas que pueden transportarse por tipo de contenedor bajo restricción volumétrica. Es un parámetro físico clave para convertir costos por contenedor a costos por tonelada.</t>
  </si>
  <si>
    <t>ton/m³</t>
  </si>
  <si>
    <t>FAO / literatura técnica</t>
  </si>
  <si>
    <t>Ton = Volumen × Densidad</t>
  </si>
  <si>
    <t>País exportador del producto hacia Estados Unidos. Define la estructura logística, el régimen arancelario aplicable y el marco institucional y regulatorio del polinomio de costos.</t>
  </si>
  <si>
    <t>UN Comtrade</t>
  </si>
  <si>
    <t>Variable clave de comparación competitiva</t>
  </si>
  <si>
    <t>Puerto o punto logístico desde el cual se despacha la mercancía desde el país exportador. Determina el tipo de transporte internacional, el tiempo de tránsito y la estructura tarifaria del flete internacional.</t>
  </si>
  <si>
    <t xml:space="preserve"> SeaRates / Hapag-Lloyd / CN Tariffs</t>
  </si>
  <si>
    <t>Determina tipo de flete internacional</t>
  </si>
  <si>
    <t>Puerto estadounidense por el cual ingresa la mercancía al país destino. Define los costos portuarios, el tipo de drayage y el flete doméstico hacia los centros de procesamiento.</t>
  </si>
  <si>
    <t>Define flete doméstico y costos internos</t>
  </si>
  <si>
    <t>Tipo de unidad de carga utilizada en el transporte internacional (por ejemplo: contenedor 20’, 40’, bulk o carload). Determina el volumen disponible, la capacidad efectiva de carga y la base de cálculo del flete internacional.</t>
  </si>
  <si>
    <t>Pies</t>
  </si>
  <si>
    <t>DataSur / CN Tariffs</t>
  </si>
  <si>
    <t>Define volumen y capacidad efectiva</t>
  </si>
  <si>
    <t>Porcentaje del Total de Dolares (USD) importado por Estados Unidos que corresponde a cada país para un producto específico. Refleja competitividad relativa, escala exportadora y posicionamiento comercial.</t>
  </si>
  <si>
    <t>%</t>
  </si>
  <si>
    <t>Indicador de escala y posicionamiento</t>
  </si>
  <si>
    <t>Posicion</t>
  </si>
  <si>
    <t>Ranking del país exportador dentro del mercado estadounidense para ese producto específico, según volumen o valor importado.</t>
  </si>
  <si>
    <t>N°</t>
  </si>
  <si>
    <t>Mide liderazgo relativo</t>
  </si>
  <si>
    <t>Valor total de las importaciones estadounidenses desde cada país para un producto determinado, expresado en dólares estadounidenses. Base para el cálculo del FOB unitario.</t>
  </si>
  <si>
    <t>USD</t>
  </si>
  <si>
    <t>Base de cálculo del FOB</t>
  </si>
  <si>
    <t>Volumen total importado por Estados Unidos desde cada país, expresado en toneladas métricas. Se utiliza para estandarizar precios y costos unitarios.</t>
  </si>
  <si>
    <t>ton</t>
  </si>
  <si>
    <t>Normalización de precios</t>
  </si>
  <si>
    <t>Precio unitario en origen, expresado en dólares por tonelada. Se calcula como el valor total importado dividido por el volumen total importado. Representa el costo base del producto antes de cualquier componente logístico o arancelario.</t>
  </si>
  <si>
    <t>USD/ton</t>
  </si>
  <si>
    <t>UN Comtrade / DataSur</t>
  </si>
  <si>
    <t>FOB = Valor / Peso</t>
  </si>
  <si>
    <t>Transporte terrestre origen</t>
  </si>
  <si>
    <t>Costo del transporte terrestre interno en el país exportador desde el origen productivo hasta el puerto de salida. Forma parte del  flete internacional y cuando el país no incurre este costo se asigna un valor cero.</t>
  </si>
  <si>
    <t xml:space="preserve"> SeaRates / Hapag-Lloyd </t>
  </si>
  <si>
    <t>Estimación estándar de mercado</t>
  </si>
  <si>
    <t>Costos portuarios en origen</t>
  </si>
  <si>
    <t>Costos portuarios en el país exportador asociados a la manipulación, almacenamiento y despacho de la carga.  Forma parte del  flete internacional y cuando el país no incurre este costo se asigna un valor cero.</t>
  </si>
  <si>
    <t>Costo del transporte marítimo internacional entre el puerto de salida y el puerto de entrada en EE.UU.  Forma parte del  flete internacional y cuando el país no incurre este costo se asigna un valor cero.</t>
  </si>
  <si>
    <t>Transporte ferroviario internacional o interno en EE.UU., cuando aplica.  Forma parte del  flete internacional y cuando el país no incurre este costo se asigna un valor cero.</t>
  </si>
  <si>
    <t>CN Tariffs</t>
  </si>
  <si>
    <t>Costos portuarios en Estados Unidos asociados a descarga, manipulación y liberación de la carga.  Forma parte del  flete internacional y cuando el país no incurre este costo se asigna un valor cero.</t>
  </si>
  <si>
    <t>Transporte terrestre destino (EE. UU.)</t>
  </si>
  <si>
    <t>Costo del transporte terrestre interno en EE.UU. desde el puerto de entrada hasta el destino final (Iowa).  Forma parte del  flete internacional y cuando el país no incurre este costo se asigna un valor cero.</t>
  </si>
  <si>
    <t>Costo total del transporte internacional por contenedor o unidad de carga, según tarifas marítimas, terrestres y ferroviarias</t>
  </si>
  <si>
    <t>SeaRates / CN Tariffs</t>
  </si>
  <si>
    <t>Suma de los 6 tramos logísticos</t>
  </si>
  <si>
    <t>Cantidad efectiva de toneladas transportadas por contenedor internacional, calculada en función del volumen del contenedor y la densidad del producto.</t>
  </si>
  <si>
    <t>DataSur / FAO</t>
  </si>
  <si>
    <t>Ton = Vol × densidad</t>
  </si>
  <si>
    <t>Flete Total o Internacional USD/ton</t>
  </si>
  <si>
    <t>Costo unitario del transporte internacional por tonelada. Se obtiene dividiendo el flete internacional total por las toneladas efectivas transportadas.</t>
  </si>
  <si>
    <t>Elaboración propia</t>
  </si>
  <si>
    <t>Flete total / toneladas</t>
  </si>
  <si>
    <t>Valor Asegurado</t>
  </si>
  <si>
    <t>Base monetaria sobre la cual se calcula el seguro internacional de la mercancía durante el transporte. Incluye el valor FOB del producto más el flete internacional y un margen estándar por lucro esperado del 10%.</t>
  </si>
  <si>
    <t>Clutch Global Logistics</t>
  </si>
  <si>
    <t>Valor Asegurado = (FOB  USD/ton + Flete Internacional Total USD/ton) × 1,10</t>
  </si>
  <si>
    <t>Tasa Seguro</t>
  </si>
  <si>
    <t>Porcentaje aplicado sobre el valor asegurado para determinar la prima del seguro internacional de carga. Refleja el nivel de riesgo del producto, el modo de transporte y la cobertura contratada. Rango típico para productos de riesgo alto: 0,75 - 1,5%.</t>
  </si>
  <si>
    <t>Clutch Global Logistics/Kase Insurance/F</t>
  </si>
  <si>
    <t>Se utiliza el valor medio del rango típico para productos de alto riesgo (1,1%).</t>
  </si>
  <si>
    <t>Costo Seguro Internacional USD/ton</t>
  </si>
  <si>
    <t>Costo financiero asociado a la cobertura de riesgo de pérdida o daño de la mercancía durante el transporte internacional, calculado sobre el valor asegurado y expresado en términos unitarios por tonelada.</t>
  </si>
  <si>
    <t>Clutch Global Logistics/Kase Insurance</t>
  </si>
  <si>
    <t>Costo = Valor Asegurado × Tasa Seguro</t>
  </si>
  <si>
    <r>
      <rPr>
        <sz val="11"/>
        <color rgb="FF000000"/>
        <rFont val="Aptos Narrow"/>
        <scheme val="minor"/>
      </rPr>
      <t xml:space="preserve">Indica el régimen arancelario aplicado al producto. </t>
    </r>
    <r>
      <rPr>
        <i/>
        <sz val="11"/>
        <color rgb="FF000000"/>
        <rFont val="Aptos Narrow"/>
        <scheme val="minor"/>
      </rPr>
      <t>Arancel Base</t>
    </r>
    <r>
      <rPr>
        <sz val="11"/>
        <color rgb="FF000000"/>
        <rFont val="Aptos Narrow"/>
        <scheme val="minor"/>
      </rPr>
      <t xml:space="preserve"> corresponde a las tasas vigentes antes de los cambios anunciados por la administración Trump. </t>
    </r>
    <r>
      <rPr>
        <i/>
        <sz val="11"/>
        <color rgb="FF000000"/>
        <rFont val="Aptos Narrow"/>
        <scheme val="minor"/>
      </rPr>
      <t>Arancel Trump</t>
    </r>
    <r>
      <rPr>
        <sz val="11"/>
        <color rgb="FF000000"/>
        <rFont val="Aptos Narrow"/>
        <scheme val="minor"/>
      </rPr>
      <t xml:space="preserve"> (proyectado 2025) refleja los aranceles modificados o adicionales utilizados para evaluar el impacto potencial de la nueva política comercial sobre los costos de importación.</t>
    </r>
  </si>
  <si>
    <t>USITC / CustomsMobile</t>
  </si>
  <si>
    <t>Escenario regulatorio</t>
  </si>
  <si>
    <t>Tasa arancelaria aplicable al producto según su código HS, expresada en porcentaje o en USD/kg, según corresponda.</t>
  </si>
  <si>
    <t>CustomsMobile / USITC</t>
  </si>
  <si>
    <t>Según régimen</t>
  </si>
  <si>
    <t>Valor monetario del arancel por tonelada de producto. Se calcula aplicando la tasa arancelaria al FOB o convirtiendo la tarifa específica a base tonelada.</t>
  </si>
  <si>
    <t>FOB × tasa o conversión</t>
  </si>
  <si>
    <t>Clasificación cualitativa del nivel de barreras ambientales, técnicas y fitosanitarias enfrentadas por cada país exportador en el acceso al mercado estadounidense,  se asocian a los costos de certificación, auditorías, cumplimiento (MRL), trazabilidad digital obligatoria, y medición básica de huella de carbono. Se clasifica como “Baja” para países con alta integración regulatoria, equivalencias sanitarias y sistemas consolidados de trazabilidad. Se clasifica como “Alta” para países con menor escala exportadora o brechas institucionales.</t>
  </si>
  <si>
    <t>Categórica (Baja / Alta)</t>
  </si>
  <si>
    <t>ERS-USDA; FDA (FSMA/FSVP); OECD; ISO 14067; FAO ; GHG Protocol</t>
  </si>
  <si>
    <t>Estimación mínima de costos asociados al cumplimiento de barreras ambientales, técnicas y fitosanitarias para exportar avena a EE. UU.</t>
  </si>
  <si>
    <t>Incluye costos de certificación, auditorías FSMA/FSVP, cumplimiento MRL y medición básica de huella de carbono.</t>
  </si>
  <si>
    <t>Estimación máxima de costos asociados al cumplimiento de barreras ambientales, técnicas y fitosanitarias para exportar avena a EE. UU.</t>
  </si>
  <si>
    <t>Valor promedio utilizado para integrar los costos de barreras ambientales, técnicas y fitosanitarias dentro del polinomio logístico de costos.</t>
  </si>
  <si>
    <t>Promedio simple del rango definido (mínimo–máximo).</t>
  </si>
  <si>
    <t>Resultado final del polinomio logístico. Representa el costo total de importación por tonelada e integra FOB, flete internacional, flete nacional, arancel, costos ambientales, tecnicos y sanitarios. Es la variable clave para la comparación competitiva entre países.</t>
  </si>
  <si>
    <t>Costo total de importación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</si>
</sst>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quot;$&quot;#,##0.00"/>
    <numFmt numFmtId="166" formatCode="&quot;$&quot;#,##0"/>
    <numFmt numFmtId="167" formatCode="0.0"/>
    <numFmt numFmtId="168" formatCode="0.000"/>
  </numFmts>
  <fonts count="13">
    <font>
      <sz val="11"/>
      <color theme="1"/>
      <name val="Aptos Narrow"/>
      <family val="2"/>
      <scheme val="minor"/>
    </font>
    <font>
      <b/>
      <sz val="11"/>
      <color rgb="FF000000"/>
      <name val="Calibri"/>
      <family val="2"/>
    </font>
    <font>
      <sz val="11"/>
      <color rgb="FF000000"/>
      <name val="Calibri"/>
      <family val="2"/>
    </font>
    <font>
      <b/>
      <sz val="11"/>
      <color theme="1"/>
      <name val="Aptos Narrow"/>
      <family val="2"/>
      <scheme val="minor"/>
    </font>
    <font>
      <sz val="11"/>
      <color rgb="FF000000"/>
      <name val="Aptos Narrow"/>
      <scheme val="minor"/>
    </font>
    <font>
      <i/>
      <sz val="11"/>
      <color rgb="FF000000"/>
      <name val="Aptos Narrow"/>
      <scheme val="minor"/>
    </font>
    <font>
      <u/>
      <sz val="11"/>
      <color theme="10"/>
      <name val="Aptos Narrow"/>
      <family val="2"/>
      <scheme val="minor"/>
    </font>
    <font>
      <sz val="11"/>
      <color theme="1"/>
      <name val="Aptos Narrow"/>
      <scheme val="minor"/>
    </font>
    <font>
      <sz val="11"/>
      <color rgb="FF000000"/>
      <name val="Aptos Narrow"/>
      <charset val="1"/>
    </font>
    <font>
      <sz val="11"/>
      <color rgb="FF000000"/>
      <name val="Aptos Narrow"/>
      <family val="2"/>
      <scheme val="minor"/>
    </font>
    <font>
      <b/>
      <sz val="11"/>
      <color rgb="FF000000"/>
      <name val="Aptos Narrow"/>
      <scheme val="minor"/>
    </font>
    <font>
      <b/>
      <sz val="11"/>
      <color theme="1"/>
      <name val="Aptos Narrow"/>
      <scheme val="minor"/>
    </font>
    <font>
      <u/>
      <sz val="11"/>
      <color theme="10"/>
      <name val="Aptos Narrow"/>
      <scheme val="minor"/>
    </font>
  </fonts>
  <fills count="4">
    <fill>
      <patternFill patternType="none"/>
    </fill>
    <fill>
      <patternFill patternType="gray125"/>
    </fill>
    <fill>
      <patternFill patternType="solid">
        <fgColor rgb="FFFFFF00"/>
        <bgColor rgb="FF000000"/>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indexed="64"/>
      </bottom>
      <diagonal/>
    </border>
    <border>
      <left/>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2">
    <xf numFmtId="0" fontId="0" fillId="0" borderId="0"/>
    <xf numFmtId="0" fontId="6" fillId="0" borderId="0" applyNumberFormat="0" applyFill="0" applyBorder="0" applyAlignment="0" applyProtection="0"/>
  </cellStyleXfs>
  <cellXfs count="63">
    <xf numFmtId="0" fontId="0" fillId="0" borderId="0" xfId="0"/>
    <xf numFmtId="0" fontId="1" fillId="0" borderId="2" xfId="0" applyFont="1" applyBorder="1"/>
    <xf numFmtId="0" fontId="3" fillId="0" borderId="0" xfId="0" applyFont="1"/>
    <xf numFmtId="0" fontId="3" fillId="0" borderId="3" xfId="0" applyFont="1" applyBorder="1"/>
    <xf numFmtId="0" fontId="0" fillId="0" borderId="3" xfId="0" applyBorder="1"/>
    <xf numFmtId="0" fontId="0" fillId="0" borderId="0" xfId="0" applyAlignment="1">
      <alignment wrapText="1"/>
    </xf>
    <xf numFmtId="0" fontId="2" fillId="0" borderId="4" xfId="0" applyFont="1" applyBorder="1"/>
    <xf numFmtId="0" fontId="3" fillId="0" borderId="4" xfId="0" applyFont="1" applyBorder="1"/>
    <xf numFmtId="2" fontId="2" fillId="0" borderId="4" xfId="0" applyNumberFormat="1" applyFont="1" applyBorder="1"/>
    <xf numFmtId="0" fontId="3" fillId="0" borderId="4" xfId="0" applyFont="1" applyBorder="1" applyAlignment="1">
      <alignment wrapText="1"/>
    </xf>
    <xf numFmtId="0" fontId="0" fillId="0" borderId="4" xfId="0" applyBorder="1" applyAlignment="1">
      <alignment wrapText="1"/>
    </xf>
    <xf numFmtId="0" fontId="2" fillId="0" borderId="3" xfId="0" applyFont="1" applyBorder="1"/>
    <xf numFmtId="0" fontId="0" fillId="0" borderId="3" xfId="0" applyBorder="1" applyAlignment="1">
      <alignment wrapText="1"/>
    </xf>
    <xf numFmtId="0" fontId="0" fillId="0" borderId="4" xfId="0" applyBorder="1"/>
    <xf numFmtId="0" fontId="2" fillId="0" borderId="5" xfId="0" applyFont="1" applyBorder="1"/>
    <xf numFmtId="0" fontId="0" fillId="0" borderId="6" xfId="0" applyBorder="1"/>
    <xf numFmtId="0" fontId="0" fillId="0" borderId="7" xfId="0" applyBorder="1" applyAlignment="1">
      <alignment wrapText="1"/>
    </xf>
    <xf numFmtId="0" fontId="0" fillId="0" borderId="8" xfId="0" applyBorder="1"/>
    <xf numFmtId="0" fontId="0" fillId="0" borderId="9" xfId="0" applyBorder="1"/>
    <xf numFmtId="0" fontId="0" fillId="0" borderId="10" xfId="0" applyBorder="1"/>
    <xf numFmtId="0" fontId="2" fillId="0" borderId="7" xfId="0" applyFont="1" applyBorder="1"/>
    <xf numFmtId="0" fontId="0" fillId="0" borderId="9" xfId="0" applyBorder="1" applyAlignment="1">
      <alignment wrapText="1"/>
    </xf>
    <xf numFmtId="0" fontId="2" fillId="0" borderId="12" xfId="0" applyFont="1" applyBorder="1"/>
    <xf numFmtId="0" fontId="0" fillId="0" borderId="10" xfId="0" applyBorder="1" applyAlignment="1">
      <alignment wrapText="1"/>
    </xf>
    <xf numFmtId="0" fontId="0" fillId="0" borderId="11" xfId="0" applyBorder="1"/>
    <xf numFmtId="0" fontId="8" fillId="0" borderId="4" xfId="0" applyFont="1" applyBorder="1"/>
    <xf numFmtId="0" fontId="9" fillId="0" borderId="3" xfId="0" applyFont="1" applyBorder="1" applyAlignment="1">
      <alignment wrapText="1"/>
    </xf>
    <xf numFmtId="0" fontId="4" fillId="0" borderId="3" xfId="0" applyFont="1" applyBorder="1" applyAlignment="1">
      <alignment wrapText="1"/>
    </xf>
    <xf numFmtId="0" fontId="7" fillId="0" borderId="0" xfId="0" applyFont="1"/>
    <xf numFmtId="0" fontId="4" fillId="0" borderId="0" xfId="0" applyFont="1"/>
    <xf numFmtId="10" fontId="4" fillId="0" borderId="0" xfId="0" applyNumberFormat="1" applyFont="1"/>
    <xf numFmtId="165" fontId="4" fillId="0" borderId="0" xfId="0" applyNumberFormat="1" applyFont="1"/>
    <xf numFmtId="166" fontId="4" fillId="0" borderId="0" xfId="0" applyNumberFormat="1" applyFont="1"/>
    <xf numFmtId="164" fontId="4" fillId="0" borderId="0" xfId="0" applyNumberFormat="1" applyFont="1"/>
    <xf numFmtId="165" fontId="4" fillId="2" borderId="0" xfId="0" applyNumberFormat="1" applyFont="1" applyFill="1"/>
    <xf numFmtId="165" fontId="7" fillId="0" borderId="0" xfId="0" applyNumberFormat="1" applyFont="1"/>
    <xf numFmtId="165" fontId="4" fillId="3" borderId="0" xfId="0" applyNumberFormat="1" applyFont="1" applyFill="1"/>
    <xf numFmtId="166" fontId="7" fillId="0" borderId="0" xfId="0" applyNumberFormat="1" applyFont="1"/>
    <xf numFmtId="166" fontId="12" fillId="0" borderId="0" xfId="1" applyNumberFormat="1" applyFont="1"/>
    <xf numFmtId="2" fontId="4" fillId="0" borderId="0" xfId="0" applyNumberFormat="1" applyFont="1"/>
    <xf numFmtId="2" fontId="7" fillId="0" borderId="0" xfId="0" applyNumberFormat="1" applyFont="1"/>
    <xf numFmtId="167" fontId="4" fillId="0" borderId="0" xfId="0" applyNumberFormat="1" applyFont="1"/>
    <xf numFmtId="167" fontId="7" fillId="0" borderId="0" xfId="0" applyNumberFormat="1" applyFont="1"/>
    <xf numFmtId="0" fontId="8" fillId="0" borderId="7" xfId="0" applyFont="1" applyBorder="1"/>
    <xf numFmtId="0" fontId="0" fillId="0" borderId="13" xfId="0" applyBorder="1"/>
    <xf numFmtId="0" fontId="2" fillId="0" borderId="14" xfId="0" applyFont="1" applyBorder="1"/>
    <xf numFmtId="0" fontId="0" fillId="0" borderId="7" xfId="0" applyBorder="1"/>
    <xf numFmtId="0" fontId="4" fillId="0" borderId="15" xfId="0" applyFont="1" applyBorder="1" applyAlignment="1">
      <alignment wrapText="1"/>
    </xf>
    <xf numFmtId="168" fontId="4" fillId="0" borderId="0" xfId="0" applyNumberFormat="1" applyFont="1"/>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165" fontId="10" fillId="0" borderId="2" xfId="0" applyNumberFormat="1" applyFont="1" applyBorder="1" applyAlignment="1">
      <alignment horizontal="center" vertical="center" wrapText="1"/>
    </xf>
    <xf numFmtId="2" fontId="10" fillId="0" borderId="2" xfId="0" applyNumberFormat="1" applyFont="1" applyBorder="1" applyAlignment="1">
      <alignment horizontal="center" vertical="center" wrapText="1"/>
    </xf>
    <xf numFmtId="165" fontId="10" fillId="0" borderId="5" xfId="0" applyNumberFormat="1" applyFont="1" applyBorder="1" applyAlignment="1">
      <alignment horizontal="center" vertical="center" wrapText="1"/>
    </xf>
    <xf numFmtId="166" fontId="10" fillId="0" borderId="4" xfId="0" applyNumberFormat="1" applyFont="1" applyBorder="1" applyAlignment="1">
      <alignment horizontal="center" vertical="center" wrapText="1"/>
    </xf>
    <xf numFmtId="166" fontId="11" fillId="0" borderId="11" xfId="0" applyNumberFormat="1" applyFont="1" applyBorder="1" applyAlignment="1">
      <alignment horizontal="center" vertical="center" wrapText="1"/>
    </xf>
    <xf numFmtId="166" fontId="10" fillId="0" borderId="3" xfId="0" applyNumberFormat="1" applyFont="1" applyBorder="1" applyAlignment="1">
      <alignment horizontal="center" vertical="center" wrapText="1"/>
    </xf>
    <xf numFmtId="166" fontId="10" fillId="0" borderId="6" xfId="0" applyNumberFormat="1" applyFont="1" applyBorder="1" applyAlignment="1">
      <alignment horizontal="center" vertical="center" wrapText="1"/>
    </xf>
    <xf numFmtId="166" fontId="10" fillId="0" borderId="2" xfId="0" applyNumberFormat="1" applyFont="1" applyBorder="1" applyAlignment="1">
      <alignment horizontal="center" vertical="center" wrapText="1"/>
    </xf>
    <xf numFmtId="167" fontId="10" fillId="0" borderId="2" xfId="0" applyNumberFormat="1" applyFont="1" applyBorder="1" applyAlignment="1">
      <alignment horizontal="center" vertical="center" wrapText="1"/>
    </xf>
    <xf numFmtId="165" fontId="11" fillId="0" borderId="10" xfId="0" applyNumberFormat="1" applyFont="1" applyBorder="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7D039-7C24-4651-A915-B2E6D3409A5F}">
  <sheetPr filterMode="1"/>
  <dimension ref="A1:AL46"/>
  <sheetViews>
    <sheetView tabSelected="1" topLeftCell="L1" workbookViewId="0">
      <selection activeCell="P17" sqref="P17"/>
    </sheetView>
  </sheetViews>
  <sheetFormatPr defaultRowHeight="15"/>
  <cols>
    <col min="1" max="1" width="9" style="28" bestFit="1" customWidth="1"/>
    <col min="2" max="2" width="8.42578125" style="28" bestFit="1" customWidth="1"/>
    <col min="3" max="3" width="9.28515625" style="28" bestFit="1" customWidth="1"/>
    <col min="4" max="4" width="9.28515625" style="28" customWidth="1"/>
    <col min="5" max="5" width="15" style="28" bestFit="1" customWidth="1"/>
    <col min="6" max="6" width="15.85546875" style="28" bestFit="1" customWidth="1"/>
    <col min="7" max="7" width="14.7109375" style="28" customWidth="1"/>
    <col min="8" max="8" width="15" style="28" customWidth="1"/>
    <col min="9" max="9" width="19.42578125" style="28" customWidth="1"/>
    <col min="10" max="10" width="8.85546875" style="28" customWidth="1"/>
    <col min="11" max="11" width="17" style="35" bestFit="1" customWidth="1"/>
    <col min="12" max="12" width="14.5703125" style="40" bestFit="1" customWidth="1"/>
    <col min="13" max="13" width="13" style="35" bestFit="1" customWidth="1"/>
    <col min="14" max="14" width="17.28515625" style="37" customWidth="1"/>
    <col min="15" max="15" width="13" style="37" customWidth="1"/>
    <col min="16" max="16" width="17" style="37" customWidth="1"/>
    <col min="17" max="17" width="14.7109375" style="37" customWidth="1"/>
    <col min="18" max="18" width="20.5703125" style="37" customWidth="1"/>
    <col min="19" max="19" width="22.7109375" style="40" customWidth="1"/>
    <col min="20" max="20" width="17.42578125" style="35" customWidth="1"/>
    <col min="21" max="21" width="14.5703125" style="35" customWidth="1"/>
    <col min="22" max="22" width="10.85546875" style="42" customWidth="1"/>
    <col min="23" max="23" width="14" style="35" customWidth="1"/>
    <col min="24" max="24" width="14.140625" style="28" bestFit="1" customWidth="1"/>
    <col min="25" max="25" width="7.85546875" style="28" bestFit="1" customWidth="1"/>
    <col min="26" max="26" width="13.85546875" style="35" customWidth="1"/>
    <col min="27" max="27" width="11.85546875" style="28" customWidth="1"/>
    <col min="28" max="30" width="14.28515625" style="37" customWidth="1"/>
    <col min="31" max="31" width="12.5703125" style="35" customWidth="1"/>
    <col min="32" max="32" width="9.85546875" style="35" bestFit="1" customWidth="1"/>
    <col min="33" max="33" width="12.5703125" style="28" bestFit="1" customWidth="1"/>
    <col min="34" max="34" width="14.85546875" style="28" bestFit="1" customWidth="1"/>
    <col min="35" max="35" width="15.28515625" style="28" bestFit="1" customWidth="1"/>
    <col min="36" max="36" width="14.140625" style="28" bestFit="1" customWidth="1"/>
    <col min="37" max="37" width="11.140625" style="28" bestFit="1" customWidth="1"/>
    <col min="38" max="38" width="12.5703125" style="28" bestFit="1" customWidth="1"/>
    <col min="39" max="16384" width="9.140625" style="28"/>
  </cols>
  <sheetData>
    <row r="1" spans="1:38" s="62" customFormat="1" ht="43.5">
      <c r="A1" s="49" t="s">
        <v>0</v>
      </c>
      <c r="B1" s="50" t="s">
        <v>1</v>
      </c>
      <c r="C1" s="50" t="s">
        <v>2</v>
      </c>
      <c r="D1" s="50" t="s">
        <v>3</v>
      </c>
      <c r="E1" s="50" t="s">
        <v>4</v>
      </c>
      <c r="F1" s="50" t="s">
        <v>5</v>
      </c>
      <c r="G1" s="50" t="s">
        <v>6</v>
      </c>
      <c r="H1" s="50" t="s">
        <v>7</v>
      </c>
      <c r="I1" s="50" t="s">
        <v>8</v>
      </c>
      <c r="J1" s="50" t="s">
        <v>9</v>
      </c>
      <c r="K1" s="51" t="s">
        <v>10</v>
      </c>
      <c r="L1" s="52" t="s">
        <v>11</v>
      </c>
      <c r="M1" s="53" t="s">
        <v>12</v>
      </c>
      <c r="N1" s="54" t="s">
        <v>13</v>
      </c>
      <c r="O1" s="55" t="s">
        <v>14</v>
      </c>
      <c r="P1" s="56" t="s">
        <v>15</v>
      </c>
      <c r="Q1" s="57" t="s">
        <v>16</v>
      </c>
      <c r="R1" s="58" t="s">
        <v>17</v>
      </c>
      <c r="S1" s="52" t="s">
        <v>18</v>
      </c>
      <c r="T1" s="51" t="s">
        <v>19</v>
      </c>
      <c r="U1" s="51" t="s">
        <v>20</v>
      </c>
      <c r="V1" s="59" t="s">
        <v>21</v>
      </c>
      <c r="W1" s="51" t="s">
        <v>22</v>
      </c>
      <c r="X1" s="50" t="s">
        <v>23</v>
      </c>
      <c r="Y1" s="50" t="s">
        <v>24</v>
      </c>
      <c r="Z1" s="51" t="s">
        <v>25</v>
      </c>
      <c r="AA1" s="50" t="s">
        <v>26</v>
      </c>
      <c r="AB1" s="58" t="s">
        <v>27</v>
      </c>
      <c r="AC1" s="58" t="s">
        <v>28</v>
      </c>
      <c r="AD1" s="58" t="s">
        <v>29</v>
      </c>
      <c r="AE1" s="53" t="s">
        <v>30</v>
      </c>
      <c r="AF1" s="60" t="s">
        <v>31</v>
      </c>
      <c r="AG1" s="61"/>
      <c r="AH1" s="61"/>
      <c r="AI1" s="61"/>
      <c r="AJ1" s="61"/>
      <c r="AK1" s="61"/>
      <c r="AL1" s="61"/>
    </row>
    <row r="2" spans="1:38">
      <c r="A2" s="29">
        <v>1</v>
      </c>
      <c r="B2" s="29">
        <v>1</v>
      </c>
      <c r="C2" s="29" t="str">
        <f>"1004.00"</f>
        <v>1004.00</v>
      </c>
      <c r="D2" s="29">
        <v>0.48</v>
      </c>
      <c r="E2" s="29" t="s">
        <v>32</v>
      </c>
      <c r="F2" s="29" t="s">
        <v>33</v>
      </c>
      <c r="G2" s="29" t="s">
        <v>34</v>
      </c>
      <c r="H2" s="29" t="s">
        <v>35</v>
      </c>
      <c r="I2" s="30">
        <v>0.97870000000000001</v>
      </c>
      <c r="J2" s="29">
        <v>1</v>
      </c>
      <c r="K2" s="31">
        <v>325434014</v>
      </c>
      <c r="L2" s="39">
        <v>1128596.48</v>
      </c>
      <c r="M2" s="31">
        <f>K2/L2</f>
        <v>288.35285220808061</v>
      </c>
      <c r="N2" s="32">
        <v>0</v>
      </c>
      <c r="O2" s="32">
        <v>0</v>
      </c>
      <c r="P2" s="32">
        <v>0</v>
      </c>
      <c r="Q2" s="32">
        <v>7087</v>
      </c>
      <c r="R2" s="32">
        <v>7087</v>
      </c>
      <c r="S2" s="39">
        <v>83</v>
      </c>
      <c r="T2" s="31">
        <f>R2/S2</f>
        <v>85.385542168674704</v>
      </c>
      <c r="U2" s="31">
        <f t="shared" ref="U2:U39" si="0">0.1*(M2+T2)+ (T2+M2)</f>
        <v>411.11223381443085</v>
      </c>
      <c r="V2" s="41">
        <v>1.1000000000000001</v>
      </c>
      <c r="W2" s="31">
        <f>U2*(V2/100)</f>
        <v>4.52223457195874</v>
      </c>
      <c r="X2" s="29" t="s">
        <v>36</v>
      </c>
      <c r="Y2" s="39">
        <v>0</v>
      </c>
      <c r="Z2" s="31">
        <f>Y2*M2</f>
        <v>0</v>
      </c>
      <c r="AA2" s="33" t="s">
        <v>37</v>
      </c>
      <c r="AB2" s="32">
        <v>5</v>
      </c>
      <c r="AC2" s="32">
        <v>15</v>
      </c>
      <c r="AD2" s="32">
        <f>AVERAGE(AB2:AC2)</f>
        <v>10</v>
      </c>
      <c r="AE2" s="34">
        <f>M2+T2+Z2+AD2+W2</f>
        <v>388.26062894871404</v>
      </c>
      <c r="AF2" s="35">
        <v>295.69</v>
      </c>
      <c r="AG2"/>
      <c r="AH2"/>
      <c r="AI2"/>
      <c r="AJ2"/>
      <c r="AK2"/>
      <c r="AL2"/>
    </row>
    <row r="3" spans="1:38">
      <c r="A3" s="29">
        <v>2</v>
      </c>
      <c r="B3" s="29">
        <v>1</v>
      </c>
      <c r="C3" s="29" t="str">
        <f>"1004.00"</f>
        <v>1004.00</v>
      </c>
      <c r="D3" s="29">
        <v>0.48</v>
      </c>
      <c r="E3" s="29" t="s">
        <v>32</v>
      </c>
      <c r="F3" s="29" t="s">
        <v>33</v>
      </c>
      <c r="G3" s="29" t="s">
        <v>34</v>
      </c>
      <c r="H3" s="29" t="s">
        <v>35</v>
      </c>
      <c r="I3" s="30">
        <v>0.97870000000000001</v>
      </c>
      <c r="J3" s="29">
        <v>1</v>
      </c>
      <c r="K3" s="31">
        <v>325434014</v>
      </c>
      <c r="L3" s="39">
        <v>1128596.49</v>
      </c>
      <c r="M3" s="31">
        <f t="shared" ref="M3:M7" si="1">K3/L3</f>
        <v>288.35284965311206</v>
      </c>
      <c r="N3" s="32">
        <v>0</v>
      </c>
      <c r="O3" s="32">
        <v>0</v>
      </c>
      <c r="P3" s="32">
        <v>0</v>
      </c>
      <c r="Q3" s="32">
        <v>7087</v>
      </c>
      <c r="R3" s="32">
        <v>7087</v>
      </c>
      <c r="S3" s="39">
        <v>83</v>
      </c>
      <c r="T3" s="31">
        <f t="shared" ref="T3:T39" si="2">R3/S3</f>
        <v>85.385542168674704</v>
      </c>
      <c r="U3" s="31">
        <f t="shared" si="0"/>
        <v>411.11223100396546</v>
      </c>
      <c r="V3" s="41">
        <v>1.1000000000000001</v>
      </c>
      <c r="W3" s="31">
        <f t="shared" ref="W3:W39" si="3">U3*(V3/100)</f>
        <v>4.5222345410436207</v>
      </c>
      <c r="X3" s="29" t="s">
        <v>38</v>
      </c>
      <c r="Y3" s="39">
        <v>0.35</v>
      </c>
      <c r="Z3" s="31">
        <f>Y3*M3</f>
        <v>100.92349737858922</v>
      </c>
      <c r="AA3" s="33" t="s">
        <v>37</v>
      </c>
      <c r="AB3" s="32">
        <v>5</v>
      </c>
      <c r="AC3" s="32">
        <v>15</v>
      </c>
      <c r="AD3" s="32">
        <f t="shared" ref="AD3:AD39" si="4">AVERAGE(AB3:AC3)</f>
        <v>10</v>
      </c>
      <c r="AE3" s="34">
        <f t="shared" ref="AE3:AE39" si="5">M3+T3+Z3+AD3+W3</f>
        <v>489.18412374141963</v>
      </c>
      <c r="AF3" s="35">
        <v>295.69</v>
      </c>
      <c r="AG3"/>
      <c r="AH3"/>
      <c r="AI3"/>
      <c r="AJ3"/>
      <c r="AK3"/>
      <c r="AL3"/>
    </row>
    <row r="4" spans="1:38">
      <c r="A4" s="29">
        <v>3</v>
      </c>
      <c r="B4" s="29">
        <v>2</v>
      </c>
      <c r="C4" s="29" t="str">
        <f>"1004.00"</f>
        <v>1004.00</v>
      </c>
      <c r="D4" s="29">
        <v>0.48</v>
      </c>
      <c r="E4" s="29" t="s">
        <v>39</v>
      </c>
      <c r="F4" s="29" t="s">
        <v>40</v>
      </c>
      <c r="G4" s="29" t="s">
        <v>41</v>
      </c>
      <c r="H4" s="29" t="s">
        <v>42</v>
      </c>
      <c r="I4" s="30">
        <v>1.2200000000000001E-2</v>
      </c>
      <c r="J4" s="29">
        <v>2</v>
      </c>
      <c r="K4" s="31">
        <v>4060197.46</v>
      </c>
      <c r="L4" s="39">
        <v>11702.9</v>
      </c>
      <c r="M4" s="31">
        <f t="shared" si="1"/>
        <v>346.93943039759375</v>
      </c>
      <c r="N4" s="32">
        <v>12000</v>
      </c>
      <c r="O4" s="32">
        <f>81*500</f>
        <v>40500</v>
      </c>
      <c r="P4" s="32">
        <v>14000</v>
      </c>
      <c r="Q4" s="32">
        <v>0</v>
      </c>
      <c r="R4" s="32">
        <f>N4+O4+P4</f>
        <v>66500</v>
      </c>
      <c r="S4" s="39">
        <v>500</v>
      </c>
      <c r="T4" s="31">
        <f t="shared" si="2"/>
        <v>133</v>
      </c>
      <c r="U4" s="31">
        <f t="shared" si="0"/>
        <v>527.93337343735311</v>
      </c>
      <c r="V4" s="41">
        <v>1.1000000000000001</v>
      </c>
      <c r="W4" s="31">
        <f t="shared" si="3"/>
        <v>5.8072671078108851</v>
      </c>
      <c r="X4" s="29" t="s">
        <v>36</v>
      </c>
      <c r="Y4" s="39">
        <v>0</v>
      </c>
      <c r="Z4" s="31">
        <f>Y4*M4</f>
        <v>0</v>
      </c>
      <c r="AA4" s="33" t="s">
        <v>43</v>
      </c>
      <c r="AB4" s="32">
        <v>15</v>
      </c>
      <c r="AC4" s="32">
        <v>25</v>
      </c>
      <c r="AD4" s="32">
        <f t="shared" si="4"/>
        <v>20</v>
      </c>
      <c r="AE4" s="34">
        <f t="shared" si="5"/>
        <v>505.74669750540465</v>
      </c>
      <c r="AF4" s="35">
        <v>337.07</v>
      </c>
      <c r="AG4"/>
      <c r="AH4"/>
      <c r="AI4"/>
      <c r="AJ4"/>
      <c r="AK4"/>
      <c r="AL4"/>
    </row>
    <row r="5" spans="1:38">
      <c r="A5" s="29">
        <v>4</v>
      </c>
      <c r="B5" s="29">
        <v>2</v>
      </c>
      <c r="C5" s="29" t="str">
        <f>"1004.00"</f>
        <v>1004.00</v>
      </c>
      <c r="D5" s="29">
        <v>0.48</v>
      </c>
      <c r="E5" s="29" t="s">
        <v>39</v>
      </c>
      <c r="F5" s="29" t="s">
        <v>40</v>
      </c>
      <c r="G5" s="29" t="s">
        <v>41</v>
      </c>
      <c r="H5" s="29" t="s">
        <v>42</v>
      </c>
      <c r="I5" s="30">
        <v>1.2200000000000001E-2</v>
      </c>
      <c r="J5" s="29">
        <v>2</v>
      </c>
      <c r="K5" s="31">
        <v>4060197.46</v>
      </c>
      <c r="L5" s="39">
        <v>11702.1</v>
      </c>
      <c r="M5" s="31">
        <f t="shared" si="1"/>
        <v>346.96314849471463</v>
      </c>
      <c r="N5" s="32">
        <v>12000</v>
      </c>
      <c r="O5" s="32">
        <f>81*500</f>
        <v>40500</v>
      </c>
      <c r="P5" s="32">
        <v>14000</v>
      </c>
      <c r="Q5" s="32">
        <v>0</v>
      </c>
      <c r="R5" s="32">
        <f t="shared" ref="R5:R9" si="6">N5+O5+P5</f>
        <v>66500</v>
      </c>
      <c r="S5" s="39">
        <v>500</v>
      </c>
      <c r="T5" s="31">
        <f t="shared" si="2"/>
        <v>133</v>
      </c>
      <c r="U5" s="31">
        <f t="shared" si="0"/>
        <v>527.95946334418613</v>
      </c>
      <c r="V5" s="41">
        <v>1.1000000000000001</v>
      </c>
      <c r="W5" s="31">
        <f t="shared" si="3"/>
        <v>5.8075540967860482</v>
      </c>
      <c r="X5" s="29" t="s">
        <v>38</v>
      </c>
      <c r="Y5" s="39">
        <v>0.15</v>
      </c>
      <c r="Z5" s="31">
        <f>Y5*M5</f>
        <v>52.044472274207195</v>
      </c>
      <c r="AA5" s="33" t="s">
        <v>43</v>
      </c>
      <c r="AB5" s="32">
        <v>15</v>
      </c>
      <c r="AC5" s="32">
        <v>25</v>
      </c>
      <c r="AD5" s="32">
        <f t="shared" si="4"/>
        <v>20</v>
      </c>
      <c r="AE5" s="34">
        <f t="shared" si="5"/>
        <v>557.81517486570783</v>
      </c>
      <c r="AF5" s="35">
        <v>337.07</v>
      </c>
      <c r="AG5"/>
      <c r="AH5"/>
      <c r="AI5"/>
      <c r="AJ5"/>
      <c r="AK5"/>
      <c r="AL5"/>
    </row>
    <row r="6" spans="1:38">
      <c r="A6" s="29">
        <v>5</v>
      </c>
      <c r="B6" s="29">
        <v>3</v>
      </c>
      <c r="C6" s="29" t="str">
        <f>"1004.00"</f>
        <v>1004.00</v>
      </c>
      <c r="D6" s="29">
        <v>0.48</v>
      </c>
      <c r="E6" s="29" t="s">
        <v>44</v>
      </c>
      <c r="F6" s="29" t="s">
        <v>45</v>
      </c>
      <c r="G6" s="29" t="s">
        <v>41</v>
      </c>
      <c r="H6" s="29" t="s">
        <v>42</v>
      </c>
      <c r="I6" s="30">
        <v>5.1999999999999998E-3</v>
      </c>
      <c r="J6" s="29">
        <v>3</v>
      </c>
      <c r="K6" s="31">
        <v>1736149.64</v>
      </c>
      <c r="L6" s="39">
        <v>5000</v>
      </c>
      <c r="M6" s="31">
        <f t="shared" si="1"/>
        <v>347.22992799999997</v>
      </c>
      <c r="N6" s="32">
        <v>12000</v>
      </c>
      <c r="O6" s="32">
        <f>78*500</f>
        <v>39000</v>
      </c>
      <c r="P6" s="32">
        <v>14000</v>
      </c>
      <c r="Q6" s="32">
        <v>0</v>
      </c>
      <c r="R6" s="32">
        <f t="shared" si="6"/>
        <v>65000</v>
      </c>
      <c r="S6" s="39">
        <v>500</v>
      </c>
      <c r="T6" s="31">
        <f t="shared" si="2"/>
        <v>130</v>
      </c>
      <c r="U6" s="31">
        <f t="shared" si="0"/>
        <v>524.95292080000002</v>
      </c>
      <c r="V6" s="41">
        <v>1.1000000000000001</v>
      </c>
      <c r="W6" s="31">
        <f t="shared" si="3"/>
        <v>5.7744821288000008</v>
      </c>
      <c r="X6" s="29" t="s">
        <v>36</v>
      </c>
      <c r="Y6" s="39">
        <v>0</v>
      </c>
      <c r="Z6" s="31">
        <f>Y6*M6</f>
        <v>0</v>
      </c>
      <c r="AA6" s="33" t="s">
        <v>43</v>
      </c>
      <c r="AB6" s="32">
        <v>15</v>
      </c>
      <c r="AC6" s="32">
        <v>25</v>
      </c>
      <c r="AD6" s="32">
        <f t="shared" si="4"/>
        <v>20</v>
      </c>
      <c r="AE6" s="34">
        <f t="shared" si="5"/>
        <v>503.00441012879998</v>
      </c>
      <c r="AF6" s="35">
        <v>357.85</v>
      </c>
      <c r="AG6"/>
      <c r="AH6"/>
      <c r="AI6"/>
      <c r="AJ6"/>
      <c r="AK6"/>
      <c r="AL6"/>
    </row>
    <row r="7" spans="1:38">
      <c r="A7" s="29">
        <v>6</v>
      </c>
      <c r="B7" s="29">
        <v>3</v>
      </c>
      <c r="C7" s="29" t="str">
        <f>"1004.00"</f>
        <v>1004.00</v>
      </c>
      <c r="D7" s="29">
        <v>0.48</v>
      </c>
      <c r="E7" s="29" t="s">
        <v>44</v>
      </c>
      <c r="F7" s="29" t="s">
        <v>45</v>
      </c>
      <c r="G7" s="29" t="s">
        <v>41</v>
      </c>
      <c r="H7" s="29" t="s">
        <v>42</v>
      </c>
      <c r="I7" s="30">
        <v>5.1999999999999998E-3</v>
      </c>
      <c r="J7" s="29">
        <v>3</v>
      </c>
      <c r="K7" s="31">
        <v>1736149.64</v>
      </c>
      <c r="L7" s="39">
        <v>5000</v>
      </c>
      <c r="M7" s="31">
        <f t="shared" si="1"/>
        <v>347.22992799999997</v>
      </c>
      <c r="N7" s="32">
        <v>12000</v>
      </c>
      <c r="O7" s="32">
        <f>78*500</f>
        <v>39000</v>
      </c>
      <c r="P7" s="32">
        <v>14000</v>
      </c>
      <c r="Q7" s="32">
        <v>0</v>
      </c>
      <c r="R7" s="32">
        <f t="shared" si="6"/>
        <v>65000</v>
      </c>
      <c r="S7" s="39">
        <v>500</v>
      </c>
      <c r="T7" s="31">
        <f t="shared" si="2"/>
        <v>130</v>
      </c>
      <c r="U7" s="31">
        <f t="shared" si="0"/>
        <v>524.95292080000002</v>
      </c>
      <c r="V7" s="41">
        <v>1.1000000000000001</v>
      </c>
      <c r="W7" s="31">
        <f t="shared" si="3"/>
        <v>5.7744821288000008</v>
      </c>
      <c r="X7" s="29" t="s">
        <v>38</v>
      </c>
      <c r="Y7" s="39">
        <v>0.15</v>
      </c>
      <c r="Z7" s="31">
        <f>Y7*M7</f>
        <v>52.084489199999993</v>
      </c>
      <c r="AA7" s="33" t="s">
        <v>43</v>
      </c>
      <c r="AB7" s="32">
        <v>15</v>
      </c>
      <c r="AC7" s="32">
        <v>25</v>
      </c>
      <c r="AD7" s="32">
        <f t="shared" si="4"/>
        <v>20</v>
      </c>
      <c r="AE7" s="34">
        <f t="shared" si="5"/>
        <v>555.08889932879993</v>
      </c>
      <c r="AF7" s="35">
        <v>357.85</v>
      </c>
      <c r="AG7"/>
      <c r="AH7"/>
      <c r="AI7"/>
      <c r="AJ7"/>
      <c r="AK7"/>
      <c r="AL7"/>
    </row>
    <row r="8" spans="1:38">
      <c r="A8" s="29">
        <v>7</v>
      </c>
      <c r="B8" s="29">
        <v>4</v>
      </c>
      <c r="C8" s="29" t="str">
        <f>"1004.00"</f>
        <v>1004.00</v>
      </c>
      <c r="D8" s="29">
        <v>0.48</v>
      </c>
      <c r="E8" s="29" t="s">
        <v>46</v>
      </c>
      <c r="F8" s="29" t="s">
        <v>47</v>
      </c>
      <c r="G8" s="29" t="s">
        <v>41</v>
      </c>
      <c r="H8" s="29" t="s">
        <v>42</v>
      </c>
      <c r="I8" s="30">
        <v>0</v>
      </c>
      <c r="J8" s="29">
        <v>23</v>
      </c>
      <c r="K8" s="31">
        <v>3420080</v>
      </c>
      <c r="L8" s="39">
        <v>6940.18</v>
      </c>
      <c r="M8" s="31">
        <f>K8/L8</f>
        <v>492.79413502243455</v>
      </c>
      <c r="N8" s="32">
        <v>12000</v>
      </c>
      <c r="O8" s="32">
        <f>87*500</f>
        <v>43500</v>
      </c>
      <c r="P8" s="32">
        <v>14000</v>
      </c>
      <c r="Q8" s="32">
        <v>0</v>
      </c>
      <c r="R8" s="32">
        <f t="shared" si="6"/>
        <v>69500</v>
      </c>
      <c r="S8" s="39">
        <v>500</v>
      </c>
      <c r="T8" s="31">
        <f t="shared" si="2"/>
        <v>139</v>
      </c>
      <c r="U8" s="31">
        <f t="shared" si="0"/>
        <v>694.97354852467811</v>
      </c>
      <c r="V8" s="41">
        <v>1.1000000000000001</v>
      </c>
      <c r="W8" s="31">
        <f t="shared" si="3"/>
        <v>7.64470903377146</v>
      </c>
      <c r="X8" s="29" t="s">
        <v>36</v>
      </c>
      <c r="Y8" s="39">
        <v>0</v>
      </c>
      <c r="Z8" s="31">
        <f>Y8*M8</f>
        <v>0</v>
      </c>
      <c r="AA8" s="33" t="s">
        <v>43</v>
      </c>
      <c r="AB8" s="32">
        <v>15</v>
      </c>
      <c r="AC8" s="32">
        <v>25</v>
      </c>
      <c r="AD8" s="32">
        <f t="shared" si="4"/>
        <v>20</v>
      </c>
      <c r="AE8" s="34">
        <f t="shared" si="5"/>
        <v>659.43884405620611</v>
      </c>
      <c r="AF8" s="35">
        <v>789</v>
      </c>
      <c r="AG8"/>
      <c r="AH8"/>
      <c r="AI8"/>
      <c r="AJ8"/>
      <c r="AK8"/>
      <c r="AL8"/>
    </row>
    <row r="9" spans="1:38">
      <c r="A9" s="29">
        <v>8</v>
      </c>
      <c r="B9" s="29">
        <v>4</v>
      </c>
      <c r="C9" s="29" t="str">
        <f>"1004.00"</f>
        <v>1004.00</v>
      </c>
      <c r="D9" s="29">
        <v>0.48</v>
      </c>
      <c r="E9" s="29" t="s">
        <v>46</v>
      </c>
      <c r="F9" s="29" t="s">
        <v>47</v>
      </c>
      <c r="G9" s="29" t="s">
        <v>41</v>
      </c>
      <c r="H9" s="29" t="s">
        <v>42</v>
      </c>
      <c r="I9" s="30">
        <v>0</v>
      </c>
      <c r="J9" s="29">
        <v>23</v>
      </c>
      <c r="K9" s="31">
        <v>3420080</v>
      </c>
      <c r="L9" s="39">
        <v>6940.18</v>
      </c>
      <c r="M9" s="31">
        <f>K9/L9</f>
        <v>492.79413502243455</v>
      </c>
      <c r="N9" s="32">
        <v>12000</v>
      </c>
      <c r="O9" s="32">
        <f>87*500</f>
        <v>43500</v>
      </c>
      <c r="P9" s="32">
        <v>14000</v>
      </c>
      <c r="Q9" s="32">
        <v>0</v>
      </c>
      <c r="R9" s="32">
        <f t="shared" si="6"/>
        <v>69500</v>
      </c>
      <c r="S9" s="39">
        <v>500</v>
      </c>
      <c r="T9" s="31">
        <f t="shared" si="2"/>
        <v>139</v>
      </c>
      <c r="U9" s="31">
        <f t="shared" si="0"/>
        <v>694.97354852467811</v>
      </c>
      <c r="V9" s="41">
        <v>1.1000000000000001</v>
      </c>
      <c r="W9" s="31">
        <f t="shared" si="3"/>
        <v>7.64470903377146</v>
      </c>
      <c r="X9" s="29" t="s">
        <v>38</v>
      </c>
      <c r="Y9" s="39">
        <v>0.1</v>
      </c>
      <c r="Z9" s="31">
        <f>Y9*M9</f>
        <v>49.279413502243457</v>
      </c>
      <c r="AA9" s="33" t="s">
        <v>43</v>
      </c>
      <c r="AB9" s="32">
        <v>15</v>
      </c>
      <c r="AC9" s="32">
        <v>25</v>
      </c>
      <c r="AD9" s="32">
        <f t="shared" si="4"/>
        <v>20</v>
      </c>
      <c r="AE9" s="34">
        <f t="shared" si="5"/>
        <v>708.71825755844952</v>
      </c>
      <c r="AF9" s="35">
        <v>789</v>
      </c>
      <c r="AG9"/>
      <c r="AH9"/>
      <c r="AI9"/>
      <c r="AJ9"/>
      <c r="AK9"/>
      <c r="AL9"/>
    </row>
    <row r="10" spans="1:38">
      <c r="A10" s="29">
        <v>9</v>
      </c>
      <c r="B10" s="29">
        <v>5</v>
      </c>
      <c r="C10" s="29" t="str">
        <f>"1104.12"</f>
        <v>1104.12</v>
      </c>
      <c r="D10" s="29">
        <v>0.34</v>
      </c>
      <c r="E10" s="29" t="s">
        <v>32</v>
      </c>
      <c r="F10" s="29" t="s">
        <v>33</v>
      </c>
      <c r="G10" s="29" t="s">
        <v>34</v>
      </c>
      <c r="H10" s="29" t="s">
        <v>35</v>
      </c>
      <c r="I10" s="30">
        <v>0.90690000000000004</v>
      </c>
      <c r="J10" s="29">
        <v>1</v>
      </c>
      <c r="K10" s="31">
        <v>198689362</v>
      </c>
      <c r="L10" s="39">
        <v>188795.07</v>
      </c>
      <c r="M10" s="31">
        <f>K10/L10</f>
        <v>1052.4075761088463</v>
      </c>
      <c r="N10" s="32">
        <v>0</v>
      </c>
      <c r="O10" s="32">
        <v>0</v>
      </c>
      <c r="P10" s="32">
        <v>0</v>
      </c>
      <c r="Q10" s="32">
        <v>7087</v>
      </c>
      <c r="R10" s="32">
        <v>7087</v>
      </c>
      <c r="S10" s="39">
        <v>60.72</v>
      </c>
      <c r="T10" s="31">
        <f t="shared" si="2"/>
        <v>116.71607378129117</v>
      </c>
      <c r="U10" s="31">
        <f t="shared" si="0"/>
        <v>1286.0360148791513</v>
      </c>
      <c r="V10" s="41">
        <v>1.1000000000000001</v>
      </c>
      <c r="W10" s="31">
        <f t="shared" si="3"/>
        <v>14.146396163670666</v>
      </c>
      <c r="X10" s="29" t="s">
        <v>36</v>
      </c>
      <c r="Y10" s="39">
        <v>0</v>
      </c>
      <c r="Z10" s="31">
        <f>Y10*M10</f>
        <v>0</v>
      </c>
      <c r="AA10" s="33" t="s">
        <v>37</v>
      </c>
      <c r="AB10" s="32">
        <v>5</v>
      </c>
      <c r="AC10" s="32">
        <v>15</v>
      </c>
      <c r="AD10" s="32">
        <f t="shared" si="4"/>
        <v>10</v>
      </c>
      <c r="AE10" s="34">
        <f t="shared" si="5"/>
        <v>1193.2700460538083</v>
      </c>
      <c r="AF10" s="35">
        <v>1087.43</v>
      </c>
      <c r="AG10"/>
      <c r="AH10"/>
      <c r="AI10"/>
      <c r="AJ10"/>
      <c r="AK10"/>
      <c r="AL10"/>
    </row>
    <row r="11" spans="1:38">
      <c r="A11" s="29">
        <v>10</v>
      </c>
      <c r="B11" s="29">
        <v>5</v>
      </c>
      <c r="C11" s="29" t="str">
        <f>"1104.12"</f>
        <v>1104.12</v>
      </c>
      <c r="D11" s="29">
        <v>0.34</v>
      </c>
      <c r="E11" s="29" t="s">
        <v>32</v>
      </c>
      <c r="F11" s="29" t="s">
        <v>33</v>
      </c>
      <c r="G11" s="29" t="s">
        <v>34</v>
      </c>
      <c r="H11" s="29" t="s">
        <v>35</v>
      </c>
      <c r="I11" s="30">
        <v>0.90690000000000004</v>
      </c>
      <c r="J11" s="29">
        <v>1</v>
      </c>
      <c r="K11" s="31">
        <v>198689362</v>
      </c>
      <c r="L11" s="39">
        <v>188795.07</v>
      </c>
      <c r="M11" s="31">
        <f t="shared" ref="M11:M23" si="7">K11/L11</f>
        <v>1052.4075761088463</v>
      </c>
      <c r="N11" s="32">
        <v>0</v>
      </c>
      <c r="O11" s="32">
        <v>0</v>
      </c>
      <c r="P11" s="32">
        <v>0</v>
      </c>
      <c r="Q11" s="32">
        <v>7087</v>
      </c>
      <c r="R11" s="32">
        <v>7087</v>
      </c>
      <c r="S11" s="39">
        <v>60.72</v>
      </c>
      <c r="T11" s="31">
        <f t="shared" si="2"/>
        <v>116.71607378129117</v>
      </c>
      <c r="U11" s="31">
        <f t="shared" si="0"/>
        <v>1286.0360148791513</v>
      </c>
      <c r="V11" s="41">
        <v>1.1000000000000001</v>
      </c>
      <c r="W11" s="31">
        <f t="shared" si="3"/>
        <v>14.146396163670666</v>
      </c>
      <c r="X11" s="29" t="s">
        <v>38</v>
      </c>
      <c r="Y11" s="39">
        <v>0.35</v>
      </c>
      <c r="Z11" s="31">
        <f>Y11*M11</f>
        <v>368.34265163809619</v>
      </c>
      <c r="AA11" s="33" t="s">
        <v>37</v>
      </c>
      <c r="AB11" s="32">
        <v>5</v>
      </c>
      <c r="AC11" s="32">
        <v>15</v>
      </c>
      <c r="AD11" s="32">
        <f t="shared" si="4"/>
        <v>10</v>
      </c>
      <c r="AE11" s="34">
        <f t="shared" si="5"/>
        <v>1561.6126976919045</v>
      </c>
      <c r="AF11" s="35">
        <v>1087.43</v>
      </c>
      <c r="AG11"/>
      <c r="AH11"/>
      <c r="AI11"/>
      <c r="AJ11"/>
      <c r="AK11"/>
      <c r="AL11"/>
    </row>
    <row r="12" spans="1:38">
      <c r="A12" s="29">
        <v>11</v>
      </c>
      <c r="B12" s="29">
        <v>6</v>
      </c>
      <c r="C12" s="29" t="str">
        <f>"1104.12"</f>
        <v>1104.12</v>
      </c>
      <c r="D12" s="29">
        <v>0.34</v>
      </c>
      <c r="E12" s="29" t="s">
        <v>48</v>
      </c>
      <c r="F12" s="29" t="s">
        <v>49</v>
      </c>
      <c r="G12" s="29" t="s">
        <v>50</v>
      </c>
      <c r="H12" s="29" t="s">
        <v>51</v>
      </c>
      <c r="I12" s="30">
        <v>2.93E-2</v>
      </c>
      <c r="J12" s="29">
        <v>2</v>
      </c>
      <c r="K12" s="31">
        <v>6408817.8600000003</v>
      </c>
      <c r="L12" s="39">
        <v>3005.489</v>
      </c>
      <c r="M12" s="31">
        <f t="shared" si="7"/>
        <v>2132.3710916925666</v>
      </c>
      <c r="N12" s="32">
        <v>600</v>
      </c>
      <c r="O12" s="32">
        <v>4647</v>
      </c>
      <c r="P12" s="32">
        <v>650</v>
      </c>
      <c r="Q12" s="32">
        <v>0</v>
      </c>
      <c r="R12" s="32">
        <f>SUM(N12:P12)</f>
        <v>5897</v>
      </c>
      <c r="S12" s="39">
        <v>23.8</v>
      </c>
      <c r="T12" s="31">
        <f t="shared" si="2"/>
        <v>247.77310924369746</v>
      </c>
      <c r="U12" s="31">
        <f t="shared" si="0"/>
        <v>2618.1586210298906</v>
      </c>
      <c r="V12" s="41">
        <v>1.1000000000000001</v>
      </c>
      <c r="W12" s="31">
        <f t="shared" si="3"/>
        <v>28.799744831328798</v>
      </c>
      <c r="X12" s="29" t="s">
        <v>36</v>
      </c>
      <c r="Y12" s="39">
        <v>0</v>
      </c>
      <c r="Z12" s="31">
        <f>Y12*M12</f>
        <v>0</v>
      </c>
      <c r="AA12" s="33" t="s">
        <v>43</v>
      </c>
      <c r="AB12" s="32">
        <v>15</v>
      </c>
      <c r="AC12" s="32">
        <v>25</v>
      </c>
      <c r="AD12" s="32">
        <f t="shared" si="4"/>
        <v>20</v>
      </c>
      <c r="AE12" s="34">
        <f t="shared" si="5"/>
        <v>2428.943945767593</v>
      </c>
      <c r="AF12" s="35">
        <v>5232.91</v>
      </c>
      <c r="AG12"/>
      <c r="AH12"/>
      <c r="AI12"/>
      <c r="AJ12"/>
      <c r="AK12"/>
      <c r="AL12"/>
    </row>
    <row r="13" spans="1:38">
      <c r="A13" s="29">
        <v>12</v>
      </c>
      <c r="B13" s="29">
        <v>6</v>
      </c>
      <c r="C13" s="29" t="str">
        <f>"1104.12"</f>
        <v>1104.12</v>
      </c>
      <c r="D13" s="29">
        <v>0.34</v>
      </c>
      <c r="E13" s="29" t="s">
        <v>48</v>
      </c>
      <c r="F13" s="29" t="s">
        <v>49</v>
      </c>
      <c r="G13" s="29" t="s">
        <v>50</v>
      </c>
      <c r="H13" s="29" t="s">
        <v>51</v>
      </c>
      <c r="I13" s="30">
        <v>2.93E-2</v>
      </c>
      <c r="J13" s="29">
        <v>2</v>
      </c>
      <c r="K13" s="31">
        <v>6408817.8600000003</v>
      </c>
      <c r="L13" s="39">
        <v>3005.489</v>
      </c>
      <c r="M13" s="31">
        <f t="shared" si="7"/>
        <v>2132.3710916925666</v>
      </c>
      <c r="N13" s="32">
        <v>600</v>
      </c>
      <c r="O13" s="32">
        <v>4647</v>
      </c>
      <c r="P13" s="32">
        <v>650</v>
      </c>
      <c r="Q13" s="32">
        <v>0</v>
      </c>
      <c r="R13" s="32">
        <f>SUM(N13:P13)</f>
        <v>5897</v>
      </c>
      <c r="S13" s="39">
        <v>23.8</v>
      </c>
      <c r="T13" s="31">
        <f t="shared" si="2"/>
        <v>247.77310924369746</v>
      </c>
      <c r="U13" s="31">
        <f t="shared" si="0"/>
        <v>2618.1586210298906</v>
      </c>
      <c r="V13" s="41">
        <v>1.1000000000000001</v>
      </c>
      <c r="W13" s="31">
        <f t="shared" si="3"/>
        <v>28.799744831328798</v>
      </c>
      <c r="X13" s="29" t="s">
        <v>38</v>
      </c>
      <c r="Y13" s="39">
        <v>0.1</v>
      </c>
      <c r="Z13" s="31">
        <f>Y13*M13</f>
        <v>213.23710916925666</v>
      </c>
      <c r="AA13" s="33" t="s">
        <v>43</v>
      </c>
      <c r="AB13" s="32">
        <v>15</v>
      </c>
      <c r="AC13" s="32">
        <v>25</v>
      </c>
      <c r="AD13" s="32">
        <f t="shared" si="4"/>
        <v>20</v>
      </c>
      <c r="AE13" s="34">
        <f t="shared" si="5"/>
        <v>2642.1810549368497</v>
      </c>
      <c r="AF13" s="35">
        <v>5232.91</v>
      </c>
      <c r="AG13"/>
      <c r="AH13"/>
      <c r="AI13"/>
      <c r="AJ13"/>
      <c r="AK13"/>
      <c r="AL13"/>
    </row>
    <row r="14" spans="1:38">
      <c r="A14" s="29">
        <v>13</v>
      </c>
      <c r="B14" s="29">
        <v>7</v>
      </c>
      <c r="C14" s="29" t="str">
        <f>"1104.12"</f>
        <v>1104.12</v>
      </c>
      <c r="D14" s="29">
        <v>0.34</v>
      </c>
      <c r="E14" s="29" t="s">
        <v>52</v>
      </c>
      <c r="F14" s="29" t="s">
        <v>53</v>
      </c>
      <c r="G14" s="29" t="s">
        <v>41</v>
      </c>
      <c r="H14" s="29" t="s">
        <v>51</v>
      </c>
      <c r="I14" s="30">
        <v>2.76E-2</v>
      </c>
      <c r="J14" s="29">
        <v>3</v>
      </c>
      <c r="K14" s="31">
        <v>6046249.7699999996</v>
      </c>
      <c r="L14" s="39">
        <v>4155.28</v>
      </c>
      <c r="M14" s="31">
        <f t="shared" si="7"/>
        <v>1455.0763775244989</v>
      </c>
      <c r="N14" s="32">
        <v>600</v>
      </c>
      <c r="O14" s="32">
        <v>3857</v>
      </c>
      <c r="P14" s="32">
        <v>650</v>
      </c>
      <c r="Q14" s="32">
        <v>0</v>
      </c>
      <c r="R14" s="32">
        <f>SUM(N14:P14)</f>
        <v>5107</v>
      </c>
      <c r="S14" s="39">
        <v>23.8</v>
      </c>
      <c r="T14" s="31">
        <f t="shared" si="2"/>
        <v>214.57983193277309</v>
      </c>
      <c r="U14" s="31">
        <f t="shared" si="0"/>
        <v>1836.621830402999</v>
      </c>
      <c r="V14" s="41">
        <v>1.1000000000000001</v>
      </c>
      <c r="W14" s="31">
        <f t="shared" si="3"/>
        <v>20.202840134432989</v>
      </c>
      <c r="X14" s="29" t="s">
        <v>36</v>
      </c>
      <c r="Y14" t="s">
        <v>54</v>
      </c>
      <c r="Z14" s="31">
        <v>12</v>
      </c>
      <c r="AA14" s="33" t="s">
        <v>37</v>
      </c>
      <c r="AB14" s="32">
        <v>5</v>
      </c>
      <c r="AC14" s="32">
        <v>15</v>
      </c>
      <c r="AD14" s="32">
        <f t="shared" si="4"/>
        <v>10</v>
      </c>
      <c r="AE14" s="34">
        <f>M14+T14+Z14+AD14+W14</f>
        <v>1711.8590495917049</v>
      </c>
      <c r="AF14" s="35">
        <v>1642.45</v>
      </c>
      <c r="AG14"/>
      <c r="AH14"/>
      <c r="AI14"/>
      <c r="AJ14"/>
      <c r="AK14"/>
      <c r="AL14"/>
    </row>
    <row r="15" spans="1:38">
      <c r="A15" s="29">
        <v>14</v>
      </c>
      <c r="B15" s="29">
        <v>7</v>
      </c>
      <c r="C15" s="29" t="str">
        <f>"1104.12"</f>
        <v>1104.12</v>
      </c>
      <c r="D15" s="29">
        <v>0.34</v>
      </c>
      <c r="E15" s="29" t="s">
        <v>52</v>
      </c>
      <c r="F15" s="29" t="s">
        <v>53</v>
      </c>
      <c r="G15" s="29" t="s">
        <v>41</v>
      </c>
      <c r="H15" s="29" t="s">
        <v>51</v>
      </c>
      <c r="I15" s="30">
        <v>2.76E-2</v>
      </c>
      <c r="J15" s="29">
        <v>3</v>
      </c>
      <c r="K15" s="31">
        <v>6046249.7699999996</v>
      </c>
      <c r="L15" s="39">
        <v>4155.28</v>
      </c>
      <c r="M15" s="31">
        <f t="shared" si="7"/>
        <v>1455.0763775244989</v>
      </c>
      <c r="N15" s="32">
        <v>600</v>
      </c>
      <c r="O15" s="32">
        <v>3857</v>
      </c>
      <c r="P15" s="32">
        <v>650</v>
      </c>
      <c r="Q15" s="32">
        <v>0</v>
      </c>
      <c r="R15" s="32">
        <f>SUM(N15:P15)</f>
        <v>5107</v>
      </c>
      <c r="S15" s="39">
        <v>23.8</v>
      </c>
      <c r="T15" s="31">
        <f t="shared" si="2"/>
        <v>214.57983193277309</v>
      </c>
      <c r="U15" s="31">
        <f t="shared" si="0"/>
        <v>1836.621830402999</v>
      </c>
      <c r="V15" s="41">
        <v>1.1000000000000001</v>
      </c>
      <c r="W15" s="31">
        <f t="shared" si="3"/>
        <v>20.202840134432989</v>
      </c>
      <c r="X15" s="29" t="s">
        <v>38</v>
      </c>
      <c r="Y15" s="39">
        <v>0.15</v>
      </c>
      <c r="Z15" s="31">
        <f>Y15*M15</f>
        <v>218.26145662867484</v>
      </c>
      <c r="AA15" s="33" t="s">
        <v>37</v>
      </c>
      <c r="AB15" s="32">
        <v>5</v>
      </c>
      <c r="AC15" s="32">
        <v>15</v>
      </c>
      <c r="AD15" s="32">
        <f t="shared" si="4"/>
        <v>10</v>
      </c>
      <c r="AE15" s="34">
        <f t="shared" si="5"/>
        <v>1918.1205062203796</v>
      </c>
      <c r="AF15" s="35">
        <v>1642.45</v>
      </c>
      <c r="AG15"/>
      <c r="AH15"/>
      <c r="AI15"/>
      <c r="AJ15"/>
      <c r="AK15"/>
      <c r="AL15"/>
    </row>
    <row r="16" spans="1:38">
      <c r="A16" s="29">
        <v>15</v>
      </c>
      <c r="B16" s="29">
        <v>8</v>
      </c>
      <c r="C16" s="29" t="str">
        <f>"1104.12"</f>
        <v>1104.12</v>
      </c>
      <c r="D16" s="29">
        <v>0.34</v>
      </c>
      <c r="E16" s="29" t="s">
        <v>46</v>
      </c>
      <c r="F16" s="29" t="s">
        <v>55</v>
      </c>
      <c r="G16" s="29" t="s">
        <v>41</v>
      </c>
      <c r="H16" s="29" t="s">
        <v>51</v>
      </c>
      <c r="I16" s="30">
        <v>1.6299999999999999E-2</v>
      </c>
      <c r="J16" s="29">
        <v>4</v>
      </c>
      <c r="K16" s="31">
        <v>3572702.79</v>
      </c>
      <c r="L16" s="39">
        <v>5237.04</v>
      </c>
      <c r="M16" s="31">
        <f t="shared" si="7"/>
        <v>682.19887379130193</v>
      </c>
      <c r="N16" s="32">
        <v>600</v>
      </c>
      <c r="O16" s="32">
        <v>3857</v>
      </c>
      <c r="P16" s="32">
        <v>650</v>
      </c>
      <c r="Q16" s="32">
        <v>0</v>
      </c>
      <c r="R16" s="32">
        <f>SUM(N16:P16)</f>
        <v>5107</v>
      </c>
      <c r="S16" s="39">
        <v>23.8</v>
      </c>
      <c r="T16" s="31">
        <f t="shared" si="2"/>
        <v>214.57983193277309</v>
      </c>
      <c r="U16" s="31">
        <f t="shared" si="0"/>
        <v>986.45657629648258</v>
      </c>
      <c r="V16" s="41">
        <v>1.1000000000000001</v>
      </c>
      <c r="W16" s="31">
        <f t="shared" si="3"/>
        <v>10.851022339261309</v>
      </c>
      <c r="X16" s="29" t="s">
        <v>36</v>
      </c>
      <c r="Y16" s="39">
        <v>0</v>
      </c>
      <c r="Z16" s="31">
        <f>Y16*M16</f>
        <v>0</v>
      </c>
      <c r="AA16" s="33" t="s">
        <v>43</v>
      </c>
      <c r="AB16" s="32">
        <v>15</v>
      </c>
      <c r="AC16" s="32">
        <v>25</v>
      </c>
      <c r="AD16" s="32">
        <f t="shared" si="4"/>
        <v>20</v>
      </c>
      <c r="AE16" s="34">
        <f t="shared" si="5"/>
        <v>927.62972806333642</v>
      </c>
      <c r="AF16" s="35">
        <v>832.39</v>
      </c>
      <c r="AG16"/>
      <c r="AH16"/>
      <c r="AI16"/>
      <c r="AJ16"/>
      <c r="AK16"/>
      <c r="AL16"/>
    </row>
    <row r="17" spans="1:38">
      <c r="A17" s="29">
        <v>16</v>
      </c>
      <c r="B17" s="29">
        <v>8</v>
      </c>
      <c r="C17" s="29" t="str">
        <f>"1104.12"</f>
        <v>1104.12</v>
      </c>
      <c r="D17" s="29">
        <v>0.34</v>
      </c>
      <c r="E17" s="29" t="s">
        <v>46</v>
      </c>
      <c r="F17" s="29" t="s">
        <v>55</v>
      </c>
      <c r="G17" s="29" t="s">
        <v>41</v>
      </c>
      <c r="H17" s="29" t="s">
        <v>51</v>
      </c>
      <c r="I17" s="30">
        <v>1.6299999999999999E-2</v>
      </c>
      <c r="J17" s="29">
        <v>4</v>
      </c>
      <c r="K17" s="31">
        <v>3572702.79</v>
      </c>
      <c r="L17" s="39">
        <v>5237.04</v>
      </c>
      <c r="M17" s="31">
        <f t="shared" si="7"/>
        <v>682.19887379130193</v>
      </c>
      <c r="N17" s="32">
        <v>600</v>
      </c>
      <c r="O17" s="32">
        <v>3857</v>
      </c>
      <c r="P17" s="32">
        <v>650</v>
      </c>
      <c r="Q17" s="32">
        <v>0</v>
      </c>
      <c r="R17" s="32">
        <f>SUM(N17:P17)</f>
        <v>5107</v>
      </c>
      <c r="S17" s="39">
        <v>23.8</v>
      </c>
      <c r="T17" s="31">
        <f t="shared" si="2"/>
        <v>214.57983193277309</v>
      </c>
      <c r="U17" s="31">
        <f t="shared" si="0"/>
        <v>986.45657629648258</v>
      </c>
      <c r="V17" s="41">
        <v>1.1000000000000001</v>
      </c>
      <c r="W17" s="31">
        <f t="shared" si="3"/>
        <v>10.851022339261309</v>
      </c>
      <c r="X17" s="29" t="s">
        <v>38</v>
      </c>
      <c r="Y17" s="39">
        <v>0.1</v>
      </c>
      <c r="Z17" s="31">
        <f>Y17*M17</f>
        <v>68.219887379130199</v>
      </c>
      <c r="AA17" s="33" t="s">
        <v>43</v>
      </c>
      <c r="AB17" s="32">
        <v>15</v>
      </c>
      <c r="AC17" s="32">
        <v>25</v>
      </c>
      <c r="AD17" s="32">
        <f t="shared" si="4"/>
        <v>20</v>
      </c>
      <c r="AE17" s="34">
        <f t="shared" si="5"/>
        <v>995.84961544246664</v>
      </c>
      <c r="AF17" s="35">
        <v>832.39</v>
      </c>
      <c r="AG17"/>
      <c r="AH17"/>
      <c r="AI17"/>
      <c r="AJ17"/>
      <c r="AK17"/>
      <c r="AL17"/>
    </row>
    <row r="18" spans="1:38">
      <c r="A18" s="29">
        <v>17</v>
      </c>
      <c r="B18" s="29">
        <v>9</v>
      </c>
      <c r="C18" s="29" t="str">
        <f>"1104.29"</f>
        <v>1104.29</v>
      </c>
      <c r="D18" s="29">
        <v>0.46</v>
      </c>
      <c r="E18" s="29" t="s">
        <v>32</v>
      </c>
      <c r="F18" s="29" t="s">
        <v>33</v>
      </c>
      <c r="G18" s="29" t="s">
        <v>34</v>
      </c>
      <c r="H18" s="29" t="s">
        <v>35</v>
      </c>
      <c r="I18" s="30">
        <v>0.33179999999999998</v>
      </c>
      <c r="J18" s="29">
        <v>1</v>
      </c>
      <c r="K18" s="31">
        <v>7171622.1299999999</v>
      </c>
      <c r="L18" s="39">
        <v>10036.516</v>
      </c>
      <c r="M18" s="31">
        <f t="shared" si="7"/>
        <v>714.55295144251249</v>
      </c>
      <c r="N18" s="32">
        <v>0</v>
      </c>
      <c r="O18" s="32">
        <v>0</v>
      </c>
      <c r="P18" s="32">
        <v>0</v>
      </c>
      <c r="Q18" s="32">
        <v>7087</v>
      </c>
      <c r="R18" s="32">
        <v>7087</v>
      </c>
      <c r="S18" s="39">
        <v>128.19</v>
      </c>
      <c r="T18" s="31">
        <f t="shared" si="2"/>
        <v>55.285123644590065</v>
      </c>
      <c r="U18" s="31">
        <f t="shared" si="0"/>
        <v>846.82188259581278</v>
      </c>
      <c r="V18" s="41">
        <v>1.1000000000000001</v>
      </c>
      <c r="W18" s="31">
        <f t="shared" si="3"/>
        <v>9.3150407085539424</v>
      </c>
      <c r="X18" s="29" t="s">
        <v>36</v>
      </c>
      <c r="Y18" s="39">
        <v>0</v>
      </c>
      <c r="Z18" s="31">
        <f>Y18*M18</f>
        <v>0</v>
      </c>
      <c r="AA18" s="33" t="s">
        <v>37</v>
      </c>
      <c r="AB18" s="32">
        <v>5</v>
      </c>
      <c r="AC18" s="32">
        <v>15</v>
      </c>
      <c r="AD18" s="32">
        <f t="shared" si="4"/>
        <v>10</v>
      </c>
      <c r="AE18" s="34">
        <f t="shared" si="5"/>
        <v>789.1531157956565</v>
      </c>
      <c r="AF18" s="35">
        <v>756.57</v>
      </c>
      <c r="AG18"/>
      <c r="AH18"/>
      <c r="AI18"/>
      <c r="AJ18"/>
      <c r="AK18"/>
      <c r="AL18"/>
    </row>
    <row r="19" spans="1:38">
      <c r="A19" s="29">
        <v>18</v>
      </c>
      <c r="B19" s="29">
        <v>9</v>
      </c>
      <c r="C19" s="29" t="str">
        <f>"1104.29"</f>
        <v>1104.29</v>
      </c>
      <c r="D19" s="29">
        <v>0.46</v>
      </c>
      <c r="E19" s="29" t="s">
        <v>32</v>
      </c>
      <c r="F19" s="29" t="s">
        <v>33</v>
      </c>
      <c r="G19" s="29" t="s">
        <v>34</v>
      </c>
      <c r="H19" s="29" t="s">
        <v>35</v>
      </c>
      <c r="I19" s="30">
        <v>0.33179999999999998</v>
      </c>
      <c r="J19" s="29">
        <v>1</v>
      </c>
      <c r="K19" s="31">
        <v>7171622.1299999999</v>
      </c>
      <c r="L19" s="39">
        <v>10036.516</v>
      </c>
      <c r="M19" s="31">
        <f t="shared" si="7"/>
        <v>714.55295144251249</v>
      </c>
      <c r="N19" s="32">
        <v>0</v>
      </c>
      <c r="O19" s="32">
        <v>0</v>
      </c>
      <c r="P19" s="32">
        <v>0</v>
      </c>
      <c r="Q19" s="32">
        <v>7087</v>
      </c>
      <c r="R19" s="32">
        <v>7087</v>
      </c>
      <c r="S19" s="39">
        <v>128.19</v>
      </c>
      <c r="T19" s="31">
        <f t="shared" si="2"/>
        <v>55.285123644590065</v>
      </c>
      <c r="U19" s="31">
        <f t="shared" si="0"/>
        <v>846.82188259581278</v>
      </c>
      <c r="V19" s="41">
        <v>1.1000000000000001</v>
      </c>
      <c r="W19" s="31">
        <f t="shared" si="3"/>
        <v>9.3150407085539424</v>
      </c>
      <c r="X19" s="29" t="s">
        <v>38</v>
      </c>
      <c r="Y19" s="39">
        <v>0.35</v>
      </c>
      <c r="Z19" s="31">
        <f>Y19*M19</f>
        <v>250.09353300487936</v>
      </c>
      <c r="AA19" s="33" t="s">
        <v>37</v>
      </c>
      <c r="AB19" s="32">
        <v>5</v>
      </c>
      <c r="AC19" s="32">
        <v>15</v>
      </c>
      <c r="AD19" s="32">
        <f t="shared" si="4"/>
        <v>10</v>
      </c>
      <c r="AE19" s="34">
        <f t="shared" si="5"/>
        <v>1039.2466488005357</v>
      </c>
      <c r="AF19" s="35">
        <v>756.57</v>
      </c>
      <c r="AG19"/>
      <c r="AH19"/>
      <c r="AI19"/>
      <c r="AJ19"/>
      <c r="AK19"/>
      <c r="AL19"/>
    </row>
    <row r="20" spans="1:38">
      <c r="A20" s="29">
        <v>19</v>
      </c>
      <c r="B20" s="29">
        <v>10</v>
      </c>
      <c r="C20" s="29" t="str">
        <f>"1104.29"</f>
        <v>1104.29</v>
      </c>
      <c r="D20" s="29">
        <v>0.46</v>
      </c>
      <c r="E20" s="29" t="s">
        <v>56</v>
      </c>
      <c r="F20" s="29" t="s">
        <v>57</v>
      </c>
      <c r="G20" s="29" t="s">
        <v>41</v>
      </c>
      <c r="H20" s="29" t="s">
        <v>58</v>
      </c>
      <c r="I20" s="30">
        <v>0.20530000000000001</v>
      </c>
      <c r="J20" s="29">
        <v>2</v>
      </c>
      <c r="K20" s="31">
        <v>4436862</v>
      </c>
      <c r="L20" s="39">
        <v>13210.76</v>
      </c>
      <c r="M20" s="31">
        <f t="shared" si="7"/>
        <v>335.85213871117179</v>
      </c>
      <c r="N20" s="32">
        <v>550</v>
      </c>
      <c r="O20" s="32">
        <v>3437</v>
      </c>
      <c r="P20" s="32">
        <v>600</v>
      </c>
      <c r="Q20" s="32">
        <v>0</v>
      </c>
      <c r="R20" s="32">
        <f>SUM(N20:P20)</f>
        <v>4587</v>
      </c>
      <c r="S20" s="39">
        <v>24.7</v>
      </c>
      <c r="T20" s="31">
        <f t="shared" si="2"/>
        <v>185.7085020242915</v>
      </c>
      <c r="U20" s="31">
        <f t="shared" si="0"/>
        <v>573.71670480900957</v>
      </c>
      <c r="V20" s="41">
        <v>1.1000000000000001</v>
      </c>
      <c r="W20" s="31">
        <f t="shared" si="3"/>
        <v>6.3108837528991062</v>
      </c>
      <c r="X20" s="29" t="s">
        <v>36</v>
      </c>
      <c r="Y20" s="48">
        <v>2.7E-2</v>
      </c>
      <c r="Z20" s="31">
        <f>Y20*M20</f>
        <v>9.0680077452016388</v>
      </c>
      <c r="AA20" s="33" t="s">
        <v>43</v>
      </c>
      <c r="AB20" s="32">
        <v>15</v>
      </c>
      <c r="AC20" s="32">
        <v>25</v>
      </c>
      <c r="AD20" s="32">
        <f t="shared" si="4"/>
        <v>20</v>
      </c>
      <c r="AE20" s="34">
        <f t="shared" si="5"/>
        <v>556.93953223356402</v>
      </c>
      <c r="AF20" s="35">
        <v>427.34</v>
      </c>
      <c r="AG20"/>
      <c r="AH20"/>
      <c r="AI20"/>
      <c r="AJ20"/>
      <c r="AK20"/>
      <c r="AL20"/>
    </row>
    <row r="21" spans="1:38">
      <c r="A21" s="29">
        <v>20</v>
      </c>
      <c r="B21" s="29">
        <v>10</v>
      </c>
      <c r="C21" s="29" t="str">
        <f>"1104.29"</f>
        <v>1104.29</v>
      </c>
      <c r="D21" s="29">
        <v>0.46</v>
      </c>
      <c r="E21" s="29" t="s">
        <v>56</v>
      </c>
      <c r="F21" s="29" t="s">
        <v>57</v>
      </c>
      <c r="G21" s="29" t="s">
        <v>41</v>
      </c>
      <c r="H21" s="29" t="s">
        <v>58</v>
      </c>
      <c r="I21" s="30">
        <v>0.20530000000000001</v>
      </c>
      <c r="J21" s="29">
        <v>2</v>
      </c>
      <c r="K21" s="31">
        <v>4436862</v>
      </c>
      <c r="L21" s="39">
        <v>13210.76</v>
      </c>
      <c r="M21" s="31">
        <f t="shared" si="7"/>
        <v>335.85213871117179</v>
      </c>
      <c r="N21" s="32">
        <v>550</v>
      </c>
      <c r="O21" s="32">
        <v>3437</v>
      </c>
      <c r="P21" s="32">
        <v>600</v>
      </c>
      <c r="Q21" s="32">
        <v>0</v>
      </c>
      <c r="R21" s="32">
        <f>SUM(N21:P21)</f>
        <v>4587</v>
      </c>
      <c r="S21" s="39">
        <v>24.7</v>
      </c>
      <c r="T21" s="31">
        <f t="shared" si="2"/>
        <v>185.7085020242915</v>
      </c>
      <c r="U21" s="31">
        <f t="shared" si="0"/>
        <v>573.71670480900957</v>
      </c>
      <c r="V21" s="41">
        <v>1.1000000000000001</v>
      </c>
      <c r="W21" s="31">
        <f t="shared" si="3"/>
        <v>6.3108837528991062</v>
      </c>
      <c r="X21" s="29" t="s">
        <v>38</v>
      </c>
      <c r="Y21" s="39">
        <v>0.15</v>
      </c>
      <c r="Z21" s="31">
        <f>Y21*M21</f>
        <v>50.377820806675764</v>
      </c>
      <c r="AA21" s="33" t="s">
        <v>43</v>
      </c>
      <c r="AB21" s="32">
        <v>15</v>
      </c>
      <c r="AC21" s="32">
        <v>25</v>
      </c>
      <c r="AD21" s="32">
        <f t="shared" si="4"/>
        <v>20</v>
      </c>
      <c r="AE21" s="34">
        <f t="shared" si="5"/>
        <v>598.24934529503821</v>
      </c>
      <c r="AF21" s="35">
        <v>427.34</v>
      </c>
      <c r="AG21"/>
      <c r="AH21"/>
      <c r="AI21"/>
      <c r="AJ21"/>
      <c r="AK21"/>
      <c r="AL21"/>
    </row>
    <row r="22" spans="1:38">
      <c r="A22" s="29">
        <v>21</v>
      </c>
      <c r="B22" s="29">
        <v>11</v>
      </c>
      <c r="C22" s="29" t="str">
        <f>"1104.29"</f>
        <v>1104.29</v>
      </c>
      <c r="D22" s="29">
        <v>0.46</v>
      </c>
      <c r="E22" s="29" t="s">
        <v>59</v>
      </c>
      <c r="F22" s="29" t="s">
        <v>60</v>
      </c>
      <c r="G22" s="31" t="s">
        <v>61</v>
      </c>
      <c r="H22" s="29" t="s">
        <v>58</v>
      </c>
      <c r="I22" s="30">
        <v>0.14899999999999999</v>
      </c>
      <c r="J22" s="29">
        <v>3</v>
      </c>
      <c r="K22" s="31">
        <v>3221109.05</v>
      </c>
      <c r="L22" s="39">
        <v>1971.9549999999999</v>
      </c>
      <c r="M22" s="31">
        <f t="shared" si="7"/>
        <v>1633.4597138372833</v>
      </c>
      <c r="N22" s="32">
        <v>550</v>
      </c>
      <c r="O22" s="32">
        <v>2034</v>
      </c>
      <c r="P22" s="32">
        <v>600</v>
      </c>
      <c r="Q22" s="32">
        <v>0</v>
      </c>
      <c r="R22" s="32">
        <f>SUM(N22:P22)</f>
        <v>3184</v>
      </c>
      <c r="S22" s="39">
        <v>24.7</v>
      </c>
      <c r="T22" s="31">
        <f t="shared" si="2"/>
        <v>128.90688259109311</v>
      </c>
      <c r="U22" s="31">
        <f t="shared" si="0"/>
        <v>1938.603256071214</v>
      </c>
      <c r="V22" s="41">
        <v>1.1000000000000001</v>
      </c>
      <c r="W22" s="31">
        <f t="shared" si="3"/>
        <v>21.324635816783356</v>
      </c>
      <c r="X22" s="29" t="s">
        <v>36</v>
      </c>
      <c r="Y22" s="48">
        <v>2.7E-2</v>
      </c>
      <c r="Z22" s="31">
        <f>Y22*M22</f>
        <v>44.103412273606651</v>
      </c>
      <c r="AA22" s="33" t="s">
        <v>37</v>
      </c>
      <c r="AB22" s="32">
        <v>5</v>
      </c>
      <c r="AC22" s="32">
        <v>15</v>
      </c>
      <c r="AD22" s="32">
        <f t="shared" si="4"/>
        <v>10</v>
      </c>
      <c r="AE22" s="34">
        <f t="shared" si="5"/>
        <v>1837.7946445187663</v>
      </c>
      <c r="AF22" s="35">
        <v>1761.59</v>
      </c>
      <c r="AG22"/>
      <c r="AH22"/>
      <c r="AI22"/>
      <c r="AJ22"/>
      <c r="AK22"/>
      <c r="AL22"/>
    </row>
    <row r="23" spans="1:38">
      <c r="A23" s="29">
        <v>22</v>
      </c>
      <c r="B23" s="29">
        <v>11</v>
      </c>
      <c r="C23" s="29" t="str">
        <f>"1104.29"</f>
        <v>1104.29</v>
      </c>
      <c r="D23" s="29">
        <v>0.46</v>
      </c>
      <c r="E23" s="29" t="s">
        <v>59</v>
      </c>
      <c r="F23" s="29" t="s">
        <v>60</v>
      </c>
      <c r="G23" s="29" t="s">
        <v>41</v>
      </c>
      <c r="H23" s="29" t="s">
        <v>58</v>
      </c>
      <c r="I23" s="30">
        <v>0.14899999999999999</v>
      </c>
      <c r="J23" s="29">
        <v>3</v>
      </c>
      <c r="K23" s="31">
        <v>3221109.05</v>
      </c>
      <c r="L23" s="39">
        <v>1971.9549999999999</v>
      </c>
      <c r="M23" s="31">
        <f t="shared" si="7"/>
        <v>1633.4597138372833</v>
      </c>
      <c r="N23" s="32">
        <v>550</v>
      </c>
      <c r="O23" s="32">
        <v>2034</v>
      </c>
      <c r="P23" s="32">
        <v>600</v>
      </c>
      <c r="Q23" s="32">
        <v>0</v>
      </c>
      <c r="R23" s="32">
        <f>SUM(N23:P23)</f>
        <v>3184</v>
      </c>
      <c r="S23" s="39">
        <v>24.7</v>
      </c>
      <c r="T23" s="31">
        <f t="shared" si="2"/>
        <v>128.90688259109311</v>
      </c>
      <c r="U23" s="31">
        <f t="shared" si="0"/>
        <v>1938.603256071214</v>
      </c>
      <c r="V23" s="41">
        <v>1.1000000000000001</v>
      </c>
      <c r="W23" s="31">
        <f t="shared" si="3"/>
        <v>21.324635816783356</v>
      </c>
      <c r="X23" s="29" t="s">
        <v>38</v>
      </c>
      <c r="Y23" s="39">
        <v>0.18</v>
      </c>
      <c r="Z23" s="31">
        <f>Y23*M23</f>
        <v>294.02274849071097</v>
      </c>
      <c r="AA23" s="33" t="s">
        <v>37</v>
      </c>
      <c r="AB23" s="32">
        <v>5</v>
      </c>
      <c r="AC23" s="32">
        <v>15</v>
      </c>
      <c r="AD23" s="32">
        <f t="shared" si="4"/>
        <v>10</v>
      </c>
      <c r="AE23" s="34">
        <f t="shared" si="5"/>
        <v>2087.7139807358708</v>
      </c>
      <c r="AF23" s="35">
        <v>1761.59</v>
      </c>
      <c r="AG23"/>
      <c r="AH23"/>
      <c r="AI23"/>
      <c r="AJ23"/>
      <c r="AK23"/>
      <c r="AL23"/>
    </row>
    <row r="24" spans="1:38">
      <c r="A24" s="29">
        <v>23</v>
      </c>
      <c r="B24" s="29">
        <v>12</v>
      </c>
      <c r="C24" s="29" t="str">
        <f>"1104.29"</f>
        <v>1104.29</v>
      </c>
      <c r="D24" s="29">
        <v>0.46</v>
      </c>
      <c r="E24" s="29" t="s">
        <v>46</v>
      </c>
      <c r="F24" s="29" t="s">
        <v>55</v>
      </c>
      <c r="G24" s="29" t="s">
        <v>41</v>
      </c>
      <c r="H24" s="29" t="s">
        <v>58</v>
      </c>
      <c r="I24" s="30">
        <v>0</v>
      </c>
      <c r="J24" s="29">
        <v>117</v>
      </c>
      <c r="K24" s="31">
        <v>960</v>
      </c>
      <c r="L24" s="39">
        <v>1.35903</v>
      </c>
      <c r="M24" s="31">
        <f>K24/L24</f>
        <v>706.38617249067352</v>
      </c>
      <c r="N24" s="32">
        <v>550</v>
      </c>
      <c r="O24" s="32">
        <v>2030</v>
      </c>
      <c r="P24" s="32">
        <v>600</v>
      </c>
      <c r="Q24" s="32">
        <v>0</v>
      </c>
      <c r="R24" s="32">
        <f>SUM(N24:P24)</f>
        <v>3180</v>
      </c>
      <c r="S24" s="39">
        <v>24.7</v>
      </c>
      <c r="T24" s="31">
        <f t="shared" si="2"/>
        <v>128.74493927125508</v>
      </c>
      <c r="U24" s="31">
        <f t="shared" si="0"/>
        <v>918.64422293812152</v>
      </c>
      <c r="V24" s="41">
        <v>1.1000000000000001</v>
      </c>
      <c r="W24" s="31">
        <f t="shared" si="3"/>
        <v>10.105086452319338</v>
      </c>
      <c r="X24" s="29" t="s">
        <v>36</v>
      </c>
      <c r="Y24" s="39">
        <v>0</v>
      </c>
      <c r="Z24" s="31">
        <f>Y24*M24</f>
        <v>0</v>
      </c>
      <c r="AA24" s="33" t="s">
        <v>43</v>
      </c>
      <c r="AB24" s="32">
        <v>15</v>
      </c>
      <c r="AC24" s="32">
        <v>25</v>
      </c>
      <c r="AD24" s="32">
        <f t="shared" si="4"/>
        <v>20</v>
      </c>
      <c r="AE24" s="34">
        <f t="shared" si="5"/>
        <v>865.23619821424802</v>
      </c>
      <c r="AF24" s="35">
        <v>1046.1300000000001</v>
      </c>
      <c r="AG24"/>
      <c r="AH24"/>
      <c r="AI24"/>
      <c r="AJ24"/>
      <c r="AK24"/>
      <c r="AL24"/>
    </row>
    <row r="25" spans="1:38">
      <c r="A25" s="29">
        <v>24</v>
      </c>
      <c r="B25" s="29">
        <v>12</v>
      </c>
      <c r="C25" s="29" t="str">
        <f>"1104.29"</f>
        <v>1104.29</v>
      </c>
      <c r="D25" s="29">
        <v>0.46</v>
      </c>
      <c r="E25" s="29" t="s">
        <v>46</v>
      </c>
      <c r="F25" s="29" t="s">
        <v>55</v>
      </c>
      <c r="G25" s="29" t="s">
        <v>41</v>
      </c>
      <c r="H25" s="29" t="s">
        <v>58</v>
      </c>
      <c r="I25" s="30">
        <v>0</v>
      </c>
      <c r="J25" s="29">
        <v>117</v>
      </c>
      <c r="K25" s="31">
        <v>960</v>
      </c>
      <c r="L25" s="39">
        <v>1.35903</v>
      </c>
      <c r="M25" s="31">
        <f>K25/L25</f>
        <v>706.38617249067352</v>
      </c>
      <c r="N25" s="32">
        <v>550</v>
      </c>
      <c r="O25" s="32">
        <v>2030</v>
      </c>
      <c r="P25" s="32">
        <v>600</v>
      </c>
      <c r="Q25" s="32">
        <v>0</v>
      </c>
      <c r="R25" s="32">
        <f>SUM(N25:P25)</f>
        <v>3180</v>
      </c>
      <c r="S25" s="39">
        <v>24.7</v>
      </c>
      <c r="T25" s="31">
        <f t="shared" si="2"/>
        <v>128.74493927125508</v>
      </c>
      <c r="U25" s="31">
        <f t="shared" si="0"/>
        <v>918.64422293812152</v>
      </c>
      <c r="V25" s="41">
        <v>1.1000000000000001</v>
      </c>
      <c r="W25" s="31">
        <f t="shared" si="3"/>
        <v>10.105086452319338</v>
      </c>
      <c r="X25" s="29" t="s">
        <v>38</v>
      </c>
      <c r="Y25" s="39">
        <v>0.15</v>
      </c>
      <c r="Z25" s="31">
        <f>Y25*M25</f>
        <v>105.95792587360103</v>
      </c>
      <c r="AA25" s="33" t="s">
        <v>43</v>
      </c>
      <c r="AB25" s="32">
        <v>15</v>
      </c>
      <c r="AC25" s="32">
        <v>25</v>
      </c>
      <c r="AD25" s="32">
        <f t="shared" si="4"/>
        <v>20</v>
      </c>
      <c r="AE25" s="34">
        <f t="shared" si="5"/>
        <v>971.19412408784899</v>
      </c>
      <c r="AF25" s="35">
        <v>1046.1300000000001</v>
      </c>
      <c r="AG25"/>
      <c r="AH25"/>
      <c r="AI25"/>
      <c r="AJ25"/>
      <c r="AK25"/>
      <c r="AL25"/>
    </row>
    <row r="26" spans="1:38">
      <c r="A26" s="29">
        <v>25</v>
      </c>
      <c r="B26" s="29">
        <v>13</v>
      </c>
      <c r="C26" s="29" t="str">
        <f>"1904.10"</f>
        <v>1904.10</v>
      </c>
      <c r="D26" s="29">
        <v>0.24</v>
      </c>
      <c r="E26" s="29" t="s">
        <v>32</v>
      </c>
      <c r="F26" s="29" t="s">
        <v>33</v>
      </c>
      <c r="G26" s="29" t="s">
        <v>34</v>
      </c>
      <c r="H26" s="29" t="s">
        <v>35</v>
      </c>
      <c r="I26" s="30">
        <v>0.41410000000000002</v>
      </c>
      <c r="J26" s="29">
        <v>1</v>
      </c>
      <c r="K26" s="35">
        <v>255985056</v>
      </c>
      <c r="L26" s="39">
        <v>79781.78</v>
      </c>
      <c r="M26" s="31">
        <f>K26/L26</f>
        <v>3208.5653641721206</v>
      </c>
      <c r="N26" s="32">
        <v>0</v>
      </c>
      <c r="O26" s="32">
        <v>0</v>
      </c>
      <c r="P26" s="32">
        <v>0</v>
      </c>
      <c r="Q26" s="32">
        <v>7087</v>
      </c>
      <c r="R26" s="32">
        <v>7087</v>
      </c>
      <c r="S26" s="39">
        <v>36</v>
      </c>
      <c r="T26" s="31">
        <f t="shared" si="2"/>
        <v>196.86111111111111</v>
      </c>
      <c r="U26" s="31">
        <f t="shared" si="0"/>
        <v>3745.9691228115553</v>
      </c>
      <c r="V26" s="41">
        <v>1.1000000000000001</v>
      </c>
      <c r="W26" s="31">
        <f t="shared" si="3"/>
        <v>41.205660350927111</v>
      </c>
      <c r="X26" s="29" t="s">
        <v>36</v>
      </c>
      <c r="Y26" s="39">
        <v>0</v>
      </c>
      <c r="Z26" s="31">
        <f>Y26*M26</f>
        <v>0</v>
      </c>
      <c r="AA26" s="33" t="s">
        <v>37</v>
      </c>
      <c r="AB26" s="32">
        <v>5</v>
      </c>
      <c r="AC26" s="32">
        <v>15</v>
      </c>
      <c r="AD26" s="32">
        <f t="shared" si="4"/>
        <v>10</v>
      </c>
      <c r="AE26" s="34">
        <f t="shared" si="5"/>
        <v>3456.6321356341591</v>
      </c>
      <c r="AF26" s="35">
        <v>3322.74</v>
      </c>
      <c r="AG26"/>
      <c r="AH26"/>
      <c r="AI26"/>
      <c r="AJ26"/>
      <c r="AK26"/>
      <c r="AL26"/>
    </row>
    <row r="27" spans="1:38">
      <c r="A27" s="29">
        <v>26</v>
      </c>
      <c r="B27" s="29">
        <v>13</v>
      </c>
      <c r="C27" s="29" t="str">
        <f>"1904.10"</f>
        <v>1904.10</v>
      </c>
      <c r="D27" s="29">
        <v>0.24</v>
      </c>
      <c r="E27" s="29" t="s">
        <v>32</v>
      </c>
      <c r="F27" s="29" t="s">
        <v>33</v>
      </c>
      <c r="G27" s="29" t="s">
        <v>34</v>
      </c>
      <c r="H27" s="29" t="s">
        <v>35</v>
      </c>
      <c r="I27" s="30">
        <v>0.41410000000000002</v>
      </c>
      <c r="J27" s="29">
        <v>1</v>
      </c>
      <c r="K27" s="35">
        <v>255985056</v>
      </c>
      <c r="L27" s="39">
        <v>79781.78</v>
      </c>
      <c r="M27" s="31">
        <f t="shared" ref="M27:M39" si="8">K27/L27</f>
        <v>3208.5653641721206</v>
      </c>
      <c r="N27" s="32">
        <v>0</v>
      </c>
      <c r="O27" s="32">
        <v>0</v>
      </c>
      <c r="P27" s="32">
        <v>0</v>
      </c>
      <c r="Q27" s="32">
        <v>7087</v>
      </c>
      <c r="R27" s="32">
        <v>7087</v>
      </c>
      <c r="S27" s="39">
        <v>36</v>
      </c>
      <c r="T27" s="31">
        <f t="shared" si="2"/>
        <v>196.86111111111111</v>
      </c>
      <c r="U27" s="31">
        <f t="shared" si="0"/>
        <v>3745.9691228115553</v>
      </c>
      <c r="V27" s="41">
        <v>1.1000000000000001</v>
      </c>
      <c r="W27" s="31">
        <f t="shared" si="3"/>
        <v>41.205660350927111</v>
      </c>
      <c r="X27" s="29" t="s">
        <v>38</v>
      </c>
      <c r="Y27" s="39">
        <v>0.35</v>
      </c>
      <c r="Z27" s="31">
        <f>Y27*M27</f>
        <v>1122.9978774602421</v>
      </c>
      <c r="AA27" s="33" t="s">
        <v>37</v>
      </c>
      <c r="AB27" s="32">
        <v>5</v>
      </c>
      <c r="AC27" s="32">
        <v>15</v>
      </c>
      <c r="AD27" s="32">
        <f t="shared" si="4"/>
        <v>10</v>
      </c>
      <c r="AE27" s="34">
        <f t="shared" si="5"/>
        <v>4579.630013094401</v>
      </c>
      <c r="AF27" s="35">
        <v>3322.74</v>
      </c>
      <c r="AG27"/>
      <c r="AH27"/>
      <c r="AI27"/>
      <c r="AJ27"/>
      <c r="AK27"/>
      <c r="AL27"/>
    </row>
    <row r="28" spans="1:38">
      <c r="A28" s="29">
        <v>27</v>
      </c>
      <c r="B28" s="29">
        <v>14</v>
      </c>
      <c r="C28" s="29" t="str">
        <f>"1904.10"</f>
        <v>1904.10</v>
      </c>
      <c r="D28" s="29">
        <v>0.24</v>
      </c>
      <c r="E28" s="29" t="s">
        <v>62</v>
      </c>
      <c r="F28" s="29" t="s">
        <v>63</v>
      </c>
      <c r="G28" s="29" t="s">
        <v>64</v>
      </c>
      <c r="H28" s="29" t="s">
        <v>51</v>
      </c>
      <c r="I28" s="30">
        <v>0.33379999999999999</v>
      </c>
      <c r="J28" s="29">
        <v>2</v>
      </c>
      <c r="K28" s="31">
        <v>206346211</v>
      </c>
      <c r="L28" s="39">
        <v>54963.556299999997</v>
      </c>
      <c r="M28" s="31">
        <f t="shared" si="8"/>
        <v>3754.2368960576159</v>
      </c>
      <c r="N28" s="32">
        <v>0</v>
      </c>
      <c r="O28" s="32">
        <v>0</v>
      </c>
      <c r="P28" s="32">
        <v>0</v>
      </c>
      <c r="Q28" s="32">
        <v>1783</v>
      </c>
      <c r="R28" s="32">
        <v>1783</v>
      </c>
      <c r="S28" s="39">
        <v>16</v>
      </c>
      <c r="T28" s="31">
        <f t="shared" si="2"/>
        <v>111.4375</v>
      </c>
      <c r="U28" s="31">
        <f t="shared" si="0"/>
        <v>4252.2418356633771</v>
      </c>
      <c r="V28" s="41">
        <v>1.1000000000000001</v>
      </c>
      <c r="W28" s="31">
        <f t="shared" si="3"/>
        <v>46.774660192297155</v>
      </c>
      <c r="X28" s="29" t="s">
        <v>36</v>
      </c>
      <c r="Y28" s="39">
        <v>0</v>
      </c>
      <c r="Z28" s="31">
        <f>Y28*M28</f>
        <v>0</v>
      </c>
      <c r="AA28" s="33" t="s">
        <v>37</v>
      </c>
      <c r="AB28" s="32">
        <v>5</v>
      </c>
      <c r="AC28" s="32">
        <v>15</v>
      </c>
      <c r="AD28" s="32">
        <f t="shared" si="4"/>
        <v>10</v>
      </c>
      <c r="AE28" s="34">
        <f t="shared" si="5"/>
        <v>3922.4490562499132</v>
      </c>
      <c r="AF28" s="35">
        <v>3542.97</v>
      </c>
      <c r="AG28"/>
      <c r="AH28"/>
      <c r="AI28"/>
      <c r="AJ28"/>
      <c r="AK28"/>
      <c r="AL28"/>
    </row>
    <row r="29" spans="1:38">
      <c r="A29" s="29">
        <v>28</v>
      </c>
      <c r="B29" s="29">
        <v>14</v>
      </c>
      <c r="C29" s="29" t="str">
        <f>"1904.10"</f>
        <v>1904.10</v>
      </c>
      <c r="D29" s="29">
        <v>0.24</v>
      </c>
      <c r="E29" s="29" t="s">
        <v>62</v>
      </c>
      <c r="F29" s="29" t="s">
        <v>63</v>
      </c>
      <c r="G29" s="29" t="s">
        <v>64</v>
      </c>
      <c r="H29" s="29" t="s">
        <v>51</v>
      </c>
      <c r="I29" s="30">
        <v>0.33379999999999999</v>
      </c>
      <c r="J29" s="29">
        <v>2</v>
      </c>
      <c r="K29" s="31">
        <v>206346211</v>
      </c>
      <c r="L29" s="39">
        <v>54963.556299999997</v>
      </c>
      <c r="M29" s="31">
        <f t="shared" si="8"/>
        <v>3754.2368960576159</v>
      </c>
      <c r="N29" s="32">
        <v>0</v>
      </c>
      <c r="O29" s="32">
        <v>0</v>
      </c>
      <c r="P29" s="32">
        <v>0</v>
      </c>
      <c r="Q29" s="32">
        <v>1783</v>
      </c>
      <c r="R29" s="32">
        <v>1783</v>
      </c>
      <c r="S29" s="39">
        <v>16</v>
      </c>
      <c r="T29" s="31">
        <f t="shared" si="2"/>
        <v>111.4375</v>
      </c>
      <c r="U29" s="31">
        <f t="shared" si="0"/>
        <v>4252.2418356633771</v>
      </c>
      <c r="V29" s="41">
        <v>1.1000000000000001</v>
      </c>
      <c r="W29" s="31">
        <f t="shared" si="3"/>
        <v>46.774660192297155</v>
      </c>
      <c r="X29" s="29" t="s">
        <v>38</v>
      </c>
      <c r="Y29" s="39">
        <v>0.25</v>
      </c>
      <c r="Z29" s="31">
        <f>Y29*M29</f>
        <v>938.55922401440398</v>
      </c>
      <c r="AA29" s="33" t="s">
        <v>37</v>
      </c>
      <c r="AB29" s="32">
        <v>5</v>
      </c>
      <c r="AC29" s="32">
        <v>15</v>
      </c>
      <c r="AD29" s="32">
        <f t="shared" si="4"/>
        <v>10</v>
      </c>
      <c r="AE29" s="36">
        <f t="shared" si="5"/>
        <v>4861.0082802643174</v>
      </c>
      <c r="AF29" s="35">
        <v>3542.97</v>
      </c>
      <c r="AG29"/>
      <c r="AH29"/>
      <c r="AI29"/>
      <c r="AJ29"/>
      <c r="AK29"/>
      <c r="AL29"/>
    </row>
    <row r="30" spans="1:38">
      <c r="A30" s="29">
        <v>29</v>
      </c>
      <c r="B30" s="29">
        <v>15</v>
      </c>
      <c r="C30" s="29" t="str">
        <f>"1904.10"</f>
        <v>1904.10</v>
      </c>
      <c r="D30" s="29">
        <v>0.24</v>
      </c>
      <c r="E30" s="29" t="s">
        <v>46</v>
      </c>
      <c r="F30" s="29" t="s">
        <v>55</v>
      </c>
      <c r="G30" s="29" t="s">
        <v>41</v>
      </c>
      <c r="H30" s="29" t="s">
        <v>51</v>
      </c>
      <c r="I30" s="30">
        <v>0</v>
      </c>
      <c r="J30" s="29">
        <v>60</v>
      </c>
      <c r="K30" s="31">
        <v>5497.73</v>
      </c>
      <c r="L30" s="39">
        <v>1.1184000000000001</v>
      </c>
      <c r="M30" s="31">
        <f t="shared" si="8"/>
        <v>4915.7099427753928</v>
      </c>
      <c r="N30" s="32">
        <v>600</v>
      </c>
      <c r="O30" s="32">
        <v>3857</v>
      </c>
      <c r="P30" s="32">
        <v>650</v>
      </c>
      <c r="Q30" s="32">
        <v>0</v>
      </c>
      <c r="R30" s="32">
        <f>SUM(N30:P30)</f>
        <v>5107</v>
      </c>
      <c r="S30" s="39">
        <v>16</v>
      </c>
      <c r="T30" s="31">
        <f t="shared" si="2"/>
        <v>319.1875</v>
      </c>
      <c r="U30" s="31">
        <f t="shared" si="0"/>
        <v>5758.3871870529319</v>
      </c>
      <c r="V30" s="41">
        <v>1.1000000000000001</v>
      </c>
      <c r="W30" s="31">
        <f t="shared" si="3"/>
        <v>63.342259057582261</v>
      </c>
      <c r="X30" s="29" t="s">
        <v>36</v>
      </c>
      <c r="Y30" s="39">
        <v>0</v>
      </c>
      <c r="Z30" s="31">
        <f>Y30*M30</f>
        <v>0</v>
      </c>
      <c r="AA30" s="33" t="s">
        <v>43</v>
      </c>
      <c r="AB30" s="32">
        <v>15</v>
      </c>
      <c r="AC30" s="32">
        <v>25</v>
      </c>
      <c r="AD30" s="32">
        <f t="shared" si="4"/>
        <v>20</v>
      </c>
      <c r="AE30" s="36">
        <f t="shared" si="5"/>
        <v>5318.2397018329748</v>
      </c>
      <c r="AF30" s="35">
        <v>1489.81</v>
      </c>
    </row>
    <row r="31" spans="1:38">
      <c r="A31" s="29">
        <v>30</v>
      </c>
      <c r="B31" s="29">
        <v>15</v>
      </c>
      <c r="C31" s="29" t="str">
        <f>"1904.10"</f>
        <v>1904.10</v>
      </c>
      <c r="D31" s="29">
        <v>0.24</v>
      </c>
      <c r="E31" s="29" t="s">
        <v>46</v>
      </c>
      <c r="F31" s="29" t="s">
        <v>55</v>
      </c>
      <c r="G31" s="29" t="s">
        <v>41</v>
      </c>
      <c r="H31" s="29" t="s">
        <v>51</v>
      </c>
      <c r="I31" s="30">
        <v>0</v>
      </c>
      <c r="J31" s="29">
        <v>60</v>
      </c>
      <c r="K31" s="31">
        <v>5497.73</v>
      </c>
      <c r="L31" s="39">
        <v>1.1184000000000001</v>
      </c>
      <c r="M31" s="31">
        <f t="shared" si="8"/>
        <v>4915.7099427753928</v>
      </c>
      <c r="N31" s="32">
        <v>600</v>
      </c>
      <c r="O31" s="32">
        <v>3857</v>
      </c>
      <c r="P31" s="32">
        <v>650</v>
      </c>
      <c r="Q31" s="32">
        <v>0</v>
      </c>
      <c r="R31" s="32">
        <f>SUM(N31:P31)</f>
        <v>5107</v>
      </c>
      <c r="S31" s="39">
        <v>16</v>
      </c>
      <c r="T31" s="31">
        <f t="shared" si="2"/>
        <v>319.1875</v>
      </c>
      <c r="U31" s="31">
        <f t="shared" si="0"/>
        <v>5758.3871870529319</v>
      </c>
      <c r="V31" s="41">
        <v>1.1000000000000001</v>
      </c>
      <c r="W31" s="31">
        <f t="shared" si="3"/>
        <v>63.342259057582261</v>
      </c>
      <c r="X31" s="29" t="s">
        <v>38</v>
      </c>
      <c r="Y31" s="39">
        <v>0.1</v>
      </c>
      <c r="Z31" s="31">
        <f>Y31*M31</f>
        <v>491.57099427753928</v>
      </c>
      <c r="AA31" s="33" t="s">
        <v>43</v>
      </c>
      <c r="AB31" s="32">
        <v>15</v>
      </c>
      <c r="AC31" s="32">
        <v>25</v>
      </c>
      <c r="AD31" s="32">
        <f>AVERAGE(AB31:AC31)</f>
        <v>20</v>
      </c>
      <c r="AE31" s="36">
        <f t="shared" si="5"/>
        <v>5809.8106961105141</v>
      </c>
      <c r="AF31" s="35">
        <v>1489.81</v>
      </c>
    </row>
    <row r="32" spans="1:38">
      <c r="A32" s="29">
        <v>31</v>
      </c>
      <c r="B32" s="29">
        <v>16</v>
      </c>
      <c r="C32" s="29" t="str">
        <f>"2202.99"</f>
        <v>2202.99</v>
      </c>
      <c r="D32" s="29">
        <v>1</v>
      </c>
      <c r="E32" s="29" t="s">
        <v>62</v>
      </c>
      <c r="F32" s="29" t="s">
        <v>63</v>
      </c>
      <c r="G32" s="29" t="s">
        <v>64</v>
      </c>
      <c r="H32" s="29" t="s">
        <v>51</v>
      </c>
      <c r="I32" s="30">
        <v>0.27400000000000002</v>
      </c>
      <c r="J32" s="29">
        <v>1</v>
      </c>
      <c r="K32" s="31">
        <f>330797880*0.08</f>
        <v>26463830.400000002</v>
      </c>
      <c r="L32" s="39">
        <f>383774.421*0.08</f>
        <v>30701.953679999999</v>
      </c>
      <c r="M32" s="31">
        <f t="shared" si="8"/>
        <v>861.95916637185167</v>
      </c>
      <c r="N32" s="32">
        <v>0</v>
      </c>
      <c r="O32" s="32">
        <v>0</v>
      </c>
      <c r="P32" s="32">
        <v>0</v>
      </c>
      <c r="Q32" s="32">
        <v>7000</v>
      </c>
      <c r="R32" s="32">
        <v>7000</v>
      </c>
      <c r="S32" s="39">
        <v>28.3</v>
      </c>
      <c r="T32" s="31">
        <f t="shared" si="2"/>
        <v>247.34982332155477</v>
      </c>
      <c r="U32" s="31">
        <f t="shared" si="0"/>
        <v>1220.239888662747</v>
      </c>
      <c r="V32" s="41">
        <v>1.1000000000000001</v>
      </c>
      <c r="W32" s="31">
        <f t="shared" si="3"/>
        <v>13.422638775290219</v>
      </c>
      <c r="X32" s="29" t="s">
        <v>36</v>
      </c>
      <c r="Y32" s="39">
        <v>0</v>
      </c>
      <c r="Z32" s="31">
        <f>Y32*M32</f>
        <v>0</v>
      </c>
      <c r="AA32" s="33" t="s">
        <v>37</v>
      </c>
      <c r="AB32" s="32">
        <v>5</v>
      </c>
      <c r="AC32" s="32">
        <v>15</v>
      </c>
      <c r="AD32" s="32">
        <f t="shared" si="4"/>
        <v>10</v>
      </c>
      <c r="AE32" s="36">
        <f t="shared" si="5"/>
        <v>1132.7316284686965</v>
      </c>
      <c r="AF32" s="35">
        <v>943.83</v>
      </c>
    </row>
    <row r="33" spans="1:32">
      <c r="A33" s="29">
        <v>32</v>
      </c>
      <c r="B33" s="29">
        <v>16</v>
      </c>
      <c r="C33" s="29" t="str">
        <f>"2202.99"</f>
        <v>2202.99</v>
      </c>
      <c r="D33" s="29">
        <v>1</v>
      </c>
      <c r="E33" s="29" t="s">
        <v>62</v>
      </c>
      <c r="F33" s="29" t="s">
        <v>63</v>
      </c>
      <c r="G33" s="29" t="s">
        <v>64</v>
      </c>
      <c r="H33" s="29" t="s">
        <v>51</v>
      </c>
      <c r="I33" s="30">
        <v>0.27400000000000002</v>
      </c>
      <c r="J33" s="29">
        <v>1</v>
      </c>
      <c r="K33" s="31">
        <f>330797880*0.08</f>
        <v>26463830.400000002</v>
      </c>
      <c r="L33" s="39">
        <f>383774.421*0.08</f>
        <v>30701.953679999999</v>
      </c>
      <c r="M33" s="31">
        <f t="shared" si="8"/>
        <v>861.95916637185167</v>
      </c>
      <c r="N33" s="32">
        <v>0</v>
      </c>
      <c r="O33" s="32">
        <v>0</v>
      </c>
      <c r="P33" s="32">
        <v>0</v>
      </c>
      <c r="Q33" s="32">
        <v>7000</v>
      </c>
      <c r="R33" s="32">
        <v>7000</v>
      </c>
      <c r="S33" s="39">
        <v>28.3</v>
      </c>
      <c r="T33" s="31">
        <f t="shared" si="2"/>
        <v>247.34982332155477</v>
      </c>
      <c r="U33" s="31">
        <f t="shared" si="0"/>
        <v>1220.239888662747</v>
      </c>
      <c r="V33" s="41">
        <v>1.1000000000000001</v>
      </c>
      <c r="W33" s="31">
        <f t="shared" si="3"/>
        <v>13.422638775290219</v>
      </c>
      <c r="X33" s="29" t="s">
        <v>38</v>
      </c>
      <c r="Y33" s="39">
        <v>0.25</v>
      </c>
      <c r="Z33" s="31">
        <f>Y33*M33</f>
        <v>215.48979159296292</v>
      </c>
      <c r="AA33" s="33" t="s">
        <v>37</v>
      </c>
      <c r="AB33" s="32">
        <v>5</v>
      </c>
      <c r="AC33" s="32">
        <v>15</v>
      </c>
      <c r="AD33" s="32">
        <f t="shared" si="4"/>
        <v>10</v>
      </c>
      <c r="AE33" s="36">
        <f t="shared" si="5"/>
        <v>1348.2214200616595</v>
      </c>
      <c r="AF33" s="35">
        <v>943.83</v>
      </c>
    </row>
    <row r="34" spans="1:32">
      <c r="A34" s="29">
        <v>33</v>
      </c>
      <c r="B34" s="29">
        <v>17</v>
      </c>
      <c r="C34" s="29" t="str">
        <f>"2202.99"</f>
        <v>2202.99</v>
      </c>
      <c r="D34" s="29">
        <v>1</v>
      </c>
      <c r="E34" s="29" t="s">
        <v>32</v>
      </c>
      <c r="F34" s="29" t="s">
        <v>33</v>
      </c>
      <c r="G34" s="29" t="s">
        <v>34</v>
      </c>
      <c r="H34" s="29" t="s">
        <v>35</v>
      </c>
      <c r="I34" s="30">
        <v>0.24079999999999999</v>
      </c>
      <c r="J34" s="29">
        <v>2</v>
      </c>
      <c r="K34" s="31">
        <f>290721685*0.08</f>
        <v>23257734.800000001</v>
      </c>
      <c r="L34" s="39">
        <f>170255.06*0.08</f>
        <v>13620.4048</v>
      </c>
      <c r="M34" s="31">
        <f>K34/L34</f>
        <v>1707.5656077417025</v>
      </c>
      <c r="N34" s="32">
        <v>0</v>
      </c>
      <c r="O34" s="32">
        <v>0</v>
      </c>
      <c r="P34" s="32">
        <v>0</v>
      </c>
      <c r="Q34" s="32">
        <v>1783</v>
      </c>
      <c r="R34" s="32">
        <v>1783</v>
      </c>
      <c r="S34" s="39">
        <v>36</v>
      </c>
      <c r="T34" s="31">
        <f t="shared" si="2"/>
        <v>49.527777777777779</v>
      </c>
      <c r="U34" s="31">
        <f t="shared" si="0"/>
        <v>1932.8027240714284</v>
      </c>
      <c r="V34" s="41">
        <v>1.1000000000000001</v>
      </c>
      <c r="W34" s="31">
        <f t="shared" si="3"/>
        <v>21.260829964785714</v>
      </c>
      <c r="X34" s="29" t="s">
        <v>36</v>
      </c>
      <c r="Y34" s="39">
        <v>0</v>
      </c>
      <c r="Z34" s="31">
        <f>Y34*M34</f>
        <v>0</v>
      </c>
      <c r="AA34" s="33" t="s">
        <v>37</v>
      </c>
      <c r="AB34" s="32">
        <v>5</v>
      </c>
      <c r="AC34" s="32">
        <v>15</v>
      </c>
      <c r="AD34" s="32">
        <f t="shared" si="4"/>
        <v>10</v>
      </c>
      <c r="AE34" s="34">
        <f t="shared" si="5"/>
        <v>1788.354215484266</v>
      </c>
      <c r="AF34" s="35">
        <v>1769.8</v>
      </c>
    </row>
    <row r="35" spans="1:32">
      <c r="A35" s="29">
        <v>34</v>
      </c>
      <c r="B35" s="29">
        <v>17</v>
      </c>
      <c r="C35" s="29" t="str">
        <f>"2202.99"</f>
        <v>2202.99</v>
      </c>
      <c r="D35" s="29">
        <v>1</v>
      </c>
      <c r="E35" s="29" t="s">
        <v>32</v>
      </c>
      <c r="F35" s="29" t="s">
        <v>33</v>
      </c>
      <c r="G35" s="29" t="s">
        <v>34</v>
      </c>
      <c r="H35" s="29" t="s">
        <v>35</v>
      </c>
      <c r="I35" s="30">
        <v>0.24079999999999999</v>
      </c>
      <c r="J35" s="29">
        <v>2</v>
      </c>
      <c r="K35" s="31">
        <f>290721685*0.08</f>
        <v>23257734.800000001</v>
      </c>
      <c r="L35" s="39">
        <f>170255.06*0.08</f>
        <v>13620.4048</v>
      </c>
      <c r="M35" s="31">
        <f t="shared" si="8"/>
        <v>1707.5656077417025</v>
      </c>
      <c r="N35" s="32">
        <v>0</v>
      </c>
      <c r="O35" s="32">
        <v>0</v>
      </c>
      <c r="P35" s="32">
        <v>0</v>
      </c>
      <c r="Q35" s="32">
        <v>1783</v>
      </c>
      <c r="R35" s="32">
        <v>1783</v>
      </c>
      <c r="S35" s="39">
        <v>36</v>
      </c>
      <c r="T35" s="31">
        <f t="shared" si="2"/>
        <v>49.527777777777779</v>
      </c>
      <c r="U35" s="31">
        <f t="shared" si="0"/>
        <v>1932.8027240714284</v>
      </c>
      <c r="V35" s="41">
        <v>1.1000000000000001</v>
      </c>
      <c r="W35" s="31">
        <f t="shared" si="3"/>
        <v>21.260829964785714</v>
      </c>
      <c r="X35" s="29" t="s">
        <v>38</v>
      </c>
      <c r="Y35" s="39">
        <v>0.35</v>
      </c>
      <c r="Z35" s="31">
        <f>Y35*M35</f>
        <v>597.64796270959584</v>
      </c>
      <c r="AA35" s="33" t="s">
        <v>37</v>
      </c>
      <c r="AB35" s="32">
        <v>5</v>
      </c>
      <c r="AC35" s="32">
        <v>15</v>
      </c>
      <c r="AD35" s="32">
        <f t="shared" si="4"/>
        <v>10</v>
      </c>
      <c r="AE35" s="34">
        <f t="shared" si="5"/>
        <v>2386.0021781938622</v>
      </c>
      <c r="AF35" s="35">
        <v>1769.8</v>
      </c>
    </row>
    <row r="36" spans="1:32">
      <c r="A36" s="29">
        <v>35</v>
      </c>
      <c r="B36" s="29">
        <v>18</v>
      </c>
      <c r="C36" s="29" t="str">
        <f>"2202.99"</f>
        <v>2202.99</v>
      </c>
      <c r="D36" s="29">
        <v>1</v>
      </c>
      <c r="E36" s="29" t="s">
        <v>65</v>
      </c>
      <c r="F36" s="29" t="s">
        <v>66</v>
      </c>
      <c r="G36" s="29" t="s">
        <v>61</v>
      </c>
      <c r="H36" s="29" t="s">
        <v>58</v>
      </c>
      <c r="I36" s="30">
        <v>7.85E-2</v>
      </c>
      <c r="J36" s="29">
        <v>3</v>
      </c>
      <c r="K36" s="31">
        <f>94749205*0.08</f>
        <v>7579936.4000000004</v>
      </c>
      <c r="L36" s="39">
        <f>100154.509*0.08</f>
        <v>8012.3607200000006</v>
      </c>
      <c r="M36" s="31">
        <f t="shared" si="8"/>
        <v>946.03034796965551</v>
      </c>
      <c r="N36" s="32">
        <v>550</v>
      </c>
      <c r="O36" s="32">
        <v>2030</v>
      </c>
      <c r="P36" s="32">
        <v>600</v>
      </c>
      <c r="Q36" s="32">
        <v>0</v>
      </c>
      <c r="R36" s="32">
        <f>SUM(N36:P36)</f>
        <v>3180</v>
      </c>
      <c r="S36" s="39">
        <v>28.3</v>
      </c>
      <c r="T36" s="31">
        <f t="shared" si="2"/>
        <v>112.36749116607774</v>
      </c>
      <c r="U36" s="31">
        <f t="shared" si="0"/>
        <v>1164.2376230493064</v>
      </c>
      <c r="V36" s="41">
        <v>1.1000000000000001</v>
      </c>
      <c r="W36" s="31">
        <f t="shared" si="3"/>
        <v>12.806613853542371</v>
      </c>
      <c r="X36" s="29" t="s">
        <v>36</v>
      </c>
      <c r="Y36" s="39">
        <v>0</v>
      </c>
      <c r="Z36" s="31">
        <f>Y36*M36</f>
        <v>0</v>
      </c>
      <c r="AA36" s="33" t="s">
        <v>37</v>
      </c>
      <c r="AB36" s="32">
        <v>5</v>
      </c>
      <c r="AC36" s="32">
        <v>15</v>
      </c>
      <c r="AD36" s="32">
        <f t="shared" si="4"/>
        <v>10</v>
      </c>
      <c r="AE36" s="34">
        <f t="shared" si="5"/>
        <v>1081.2044529892755</v>
      </c>
      <c r="AF36" s="35">
        <v>1204.81</v>
      </c>
    </row>
    <row r="37" spans="1:32">
      <c r="A37" s="29">
        <v>36</v>
      </c>
      <c r="B37" s="29">
        <v>18</v>
      </c>
      <c r="C37" s="29" t="str">
        <f>"2202.99"</f>
        <v>2202.99</v>
      </c>
      <c r="D37" s="29">
        <v>1</v>
      </c>
      <c r="E37" s="29" t="s">
        <v>65</v>
      </c>
      <c r="F37" s="29" t="s">
        <v>66</v>
      </c>
      <c r="G37" s="29" t="s">
        <v>61</v>
      </c>
      <c r="H37" s="29" t="s">
        <v>58</v>
      </c>
      <c r="I37" s="30">
        <v>7.85E-2</v>
      </c>
      <c r="J37" s="29">
        <v>3</v>
      </c>
      <c r="K37" s="31">
        <f>94749205*0.08</f>
        <v>7579936.4000000004</v>
      </c>
      <c r="L37" s="39">
        <f>100154.509*0.08</f>
        <v>8012.3607200000006</v>
      </c>
      <c r="M37" s="31">
        <f>K37/L37</f>
        <v>946.03034796965551</v>
      </c>
      <c r="N37" s="32">
        <v>550</v>
      </c>
      <c r="O37" s="32">
        <v>2030</v>
      </c>
      <c r="P37" s="32">
        <v>600</v>
      </c>
      <c r="Q37" s="32">
        <v>0</v>
      </c>
      <c r="R37" s="32">
        <f>SUM(N37:P37)</f>
        <v>3180</v>
      </c>
      <c r="S37" s="39">
        <v>28.3</v>
      </c>
      <c r="T37" s="31">
        <f t="shared" si="2"/>
        <v>112.36749116607774</v>
      </c>
      <c r="U37" s="31">
        <f t="shared" si="0"/>
        <v>1164.2376230493064</v>
      </c>
      <c r="V37" s="41">
        <v>1.1000000000000001</v>
      </c>
      <c r="W37" s="31">
        <f t="shared" si="3"/>
        <v>12.806613853542371</v>
      </c>
      <c r="X37" s="29" t="s">
        <v>38</v>
      </c>
      <c r="Y37" s="39">
        <v>0.15</v>
      </c>
      <c r="Z37" s="31">
        <f>Y37*M37</f>
        <v>141.90455219544833</v>
      </c>
      <c r="AA37" s="33" t="s">
        <v>37</v>
      </c>
      <c r="AB37" s="32">
        <v>5</v>
      </c>
      <c r="AC37" s="32">
        <v>15</v>
      </c>
      <c r="AD37" s="32">
        <f t="shared" si="4"/>
        <v>10</v>
      </c>
      <c r="AE37" s="34">
        <f t="shared" si="5"/>
        <v>1223.1090051847239</v>
      </c>
      <c r="AF37" s="35">
        <v>1204.81</v>
      </c>
    </row>
    <row r="38" spans="1:32">
      <c r="A38" s="29">
        <v>37</v>
      </c>
      <c r="B38" s="29">
        <v>19</v>
      </c>
      <c r="C38" s="29" t="str">
        <f>"2202.99"</f>
        <v>2202.99</v>
      </c>
      <c r="D38" s="29">
        <v>1</v>
      </c>
      <c r="E38" s="29" t="s">
        <v>46</v>
      </c>
      <c r="F38" s="29" t="s">
        <v>55</v>
      </c>
      <c r="G38" s="29" t="s">
        <v>41</v>
      </c>
      <c r="H38" s="29" t="s">
        <v>58</v>
      </c>
      <c r="I38" s="30">
        <v>5.9999999999999995E-4</v>
      </c>
      <c r="J38" s="29">
        <v>41</v>
      </c>
      <c r="K38" s="31">
        <f>727625.99*0.08</f>
        <v>58210.0792</v>
      </c>
      <c r="L38" s="39">
        <f>293.992*0.08</f>
        <v>23.519360000000002</v>
      </c>
      <c r="M38" s="31">
        <f t="shared" si="8"/>
        <v>2474.9856798824453</v>
      </c>
      <c r="N38" s="32">
        <v>550</v>
      </c>
      <c r="O38" s="32">
        <v>2030</v>
      </c>
      <c r="P38" s="32">
        <v>650</v>
      </c>
      <c r="Q38" s="32">
        <v>0</v>
      </c>
      <c r="R38" s="32">
        <f>SUM(N38:P38)</f>
        <v>3230</v>
      </c>
      <c r="S38" s="39">
        <v>28.3</v>
      </c>
      <c r="T38" s="31">
        <f t="shared" si="2"/>
        <v>114.13427561837456</v>
      </c>
      <c r="U38" s="31">
        <f t="shared" si="0"/>
        <v>2848.0319510509016</v>
      </c>
      <c r="V38" s="41">
        <v>1.1000000000000001</v>
      </c>
      <c r="W38" s="31">
        <f t="shared" si="3"/>
        <v>31.328351461559922</v>
      </c>
      <c r="X38" s="29" t="s">
        <v>36</v>
      </c>
      <c r="Y38" s="39">
        <v>0</v>
      </c>
      <c r="Z38" s="31">
        <f>Y38*M38</f>
        <v>0</v>
      </c>
      <c r="AA38" s="33" t="s">
        <v>43</v>
      </c>
      <c r="AB38" s="32">
        <v>15</v>
      </c>
      <c r="AC38" s="32">
        <v>25</v>
      </c>
      <c r="AD38" s="32">
        <f t="shared" si="4"/>
        <v>20</v>
      </c>
      <c r="AE38" s="34">
        <f t="shared" si="5"/>
        <v>2640.4483069623798</v>
      </c>
      <c r="AF38" s="35">
        <v>2582.52</v>
      </c>
    </row>
    <row r="39" spans="1:32">
      <c r="A39" s="29">
        <v>38</v>
      </c>
      <c r="B39" s="29">
        <v>19</v>
      </c>
      <c r="C39" s="29" t="str">
        <f>"2202.99"</f>
        <v>2202.99</v>
      </c>
      <c r="D39" s="29">
        <v>1</v>
      </c>
      <c r="E39" s="29" t="s">
        <v>46</v>
      </c>
      <c r="F39" s="29" t="s">
        <v>55</v>
      </c>
      <c r="G39" s="29" t="s">
        <v>41</v>
      </c>
      <c r="H39" s="29" t="s">
        <v>58</v>
      </c>
      <c r="I39" s="30">
        <v>5.9999999999999995E-4</v>
      </c>
      <c r="J39" s="29">
        <v>41</v>
      </c>
      <c r="K39" s="31">
        <f>727625.99*0.08</f>
        <v>58210.0792</v>
      </c>
      <c r="L39" s="39">
        <f>293.992*0.08</f>
        <v>23.519360000000002</v>
      </c>
      <c r="M39" s="31">
        <f t="shared" si="8"/>
        <v>2474.9856798824453</v>
      </c>
      <c r="N39" s="32">
        <v>550</v>
      </c>
      <c r="O39" s="32">
        <v>2030</v>
      </c>
      <c r="P39" s="32">
        <v>650</v>
      </c>
      <c r="Q39" s="32">
        <v>0</v>
      </c>
      <c r="R39" s="32">
        <f>SUM(N39:P39)</f>
        <v>3230</v>
      </c>
      <c r="S39" s="39">
        <v>28.3</v>
      </c>
      <c r="T39" s="31">
        <f t="shared" si="2"/>
        <v>114.13427561837456</v>
      </c>
      <c r="U39" s="31">
        <f t="shared" si="0"/>
        <v>2848.0319510509016</v>
      </c>
      <c r="V39" s="41">
        <v>1.1000000000000001</v>
      </c>
      <c r="W39" s="31">
        <f t="shared" si="3"/>
        <v>31.328351461559922</v>
      </c>
      <c r="X39" s="29" t="s">
        <v>38</v>
      </c>
      <c r="Y39" s="39">
        <v>0.1</v>
      </c>
      <c r="Z39" s="31">
        <f>Y39*M39</f>
        <v>247.49856798824453</v>
      </c>
      <c r="AA39" s="33" t="s">
        <v>43</v>
      </c>
      <c r="AB39" s="32">
        <v>15</v>
      </c>
      <c r="AC39" s="32">
        <v>25</v>
      </c>
      <c r="AD39" s="32">
        <f t="shared" si="4"/>
        <v>20</v>
      </c>
      <c r="AE39" s="34">
        <f t="shared" si="5"/>
        <v>2887.9468749506245</v>
      </c>
      <c r="AF39" s="35">
        <v>2582.52</v>
      </c>
    </row>
    <row r="40" spans="1:32">
      <c r="P40" s="32"/>
      <c r="Q40" s="32"/>
    </row>
    <row r="41" spans="1:32">
      <c r="Q41" s="32"/>
    </row>
    <row r="43" spans="1:32">
      <c r="P43" s="32"/>
      <c r="Q43" s="32"/>
      <c r="R43" s="38"/>
    </row>
    <row r="44" spans="1:32">
      <c r="P44" s="32"/>
      <c r="Q44" s="32"/>
      <c r="R44" s="38"/>
    </row>
    <row r="45" spans="1:32">
      <c r="P45" s="32"/>
      <c r="Q45" s="32"/>
      <c r="R45" s="38"/>
    </row>
    <row r="46" spans="1:32">
      <c r="P46" s="32"/>
      <c r="Q46" s="32"/>
      <c r="R46" s="3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0D9F-815F-47B8-8E56-212939F7AC85}">
  <dimension ref="A1:T39"/>
  <sheetViews>
    <sheetView topLeftCell="B11" workbookViewId="0">
      <selection activeCell="B29" sqref="B29"/>
    </sheetView>
  </sheetViews>
  <sheetFormatPr defaultRowHeight="15"/>
  <cols>
    <col min="1" max="1" width="38.140625" bestFit="1" customWidth="1"/>
    <col min="2" max="2" width="150.42578125" style="5" bestFit="1" customWidth="1"/>
    <col min="3" max="3" width="12.7109375" customWidth="1"/>
    <col min="4" max="4" width="22.140625" bestFit="1" customWidth="1"/>
    <col min="5" max="5" width="47.85546875" bestFit="1" customWidth="1"/>
  </cols>
  <sheetData>
    <row r="1" spans="1:20">
      <c r="A1" s="7" t="s">
        <v>67</v>
      </c>
      <c r="B1" s="9" t="s">
        <v>68</v>
      </c>
      <c r="C1" s="3" t="s">
        <v>69</v>
      </c>
      <c r="D1" s="3" t="s">
        <v>70</v>
      </c>
      <c r="E1" s="3" t="s">
        <v>71</v>
      </c>
      <c r="T1" s="1"/>
    </row>
    <row r="2" spans="1:20" ht="29.25">
      <c r="A2" s="6" t="s">
        <v>2</v>
      </c>
      <c r="B2" s="10" t="s">
        <v>72</v>
      </c>
      <c r="C2" s="4" t="s">
        <v>73</v>
      </c>
      <c r="D2" s="4" t="s">
        <v>74</v>
      </c>
      <c r="E2" s="4" t="s">
        <v>75</v>
      </c>
    </row>
    <row r="3" spans="1:20" ht="29.25">
      <c r="A3" s="6" t="s">
        <v>76</v>
      </c>
      <c r="B3" s="10" t="s">
        <v>77</v>
      </c>
      <c r="C3" s="4" t="s">
        <v>78</v>
      </c>
      <c r="D3" s="4" t="s">
        <v>79</v>
      </c>
      <c r="E3" s="4" t="s">
        <v>80</v>
      </c>
    </row>
    <row r="4" spans="1:20" ht="29.25">
      <c r="A4" s="6" t="s">
        <v>4</v>
      </c>
      <c r="B4" s="10" t="s">
        <v>81</v>
      </c>
      <c r="C4" s="4" t="s">
        <v>73</v>
      </c>
      <c r="D4" s="4" t="s">
        <v>82</v>
      </c>
      <c r="E4" s="4" t="s">
        <v>83</v>
      </c>
    </row>
    <row r="5" spans="1:20" ht="29.25">
      <c r="A5" s="6" t="s">
        <v>5</v>
      </c>
      <c r="B5" s="10" t="s">
        <v>84</v>
      </c>
      <c r="C5" s="4" t="s">
        <v>73</v>
      </c>
      <c r="D5" s="12" t="s">
        <v>85</v>
      </c>
      <c r="E5" s="4" t="s">
        <v>86</v>
      </c>
    </row>
    <row r="6" spans="1:20" ht="29.25">
      <c r="A6" s="6" t="s">
        <v>6</v>
      </c>
      <c r="B6" s="10" t="s">
        <v>87</v>
      </c>
      <c r="C6" s="4" t="s">
        <v>73</v>
      </c>
      <c r="D6" s="12" t="s">
        <v>85</v>
      </c>
      <c r="E6" s="4" t="s">
        <v>88</v>
      </c>
    </row>
    <row r="7" spans="1:20" ht="29.25">
      <c r="A7" s="6" t="s">
        <v>7</v>
      </c>
      <c r="B7" s="10" t="s">
        <v>89</v>
      </c>
      <c r="C7" s="4" t="s">
        <v>90</v>
      </c>
      <c r="D7" s="4" t="s">
        <v>91</v>
      </c>
      <c r="E7" s="4" t="s">
        <v>92</v>
      </c>
    </row>
    <row r="8" spans="1:20" ht="29.25">
      <c r="A8" s="6" t="s">
        <v>8</v>
      </c>
      <c r="B8" s="10" t="s">
        <v>93</v>
      </c>
      <c r="C8" s="4" t="s">
        <v>94</v>
      </c>
      <c r="D8" s="4" t="s">
        <v>82</v>
      </c>
      <c r="E8" s="4" t="s">
        <v>95</v>
      </c>
    </row>
    <row r="9" spans="1:20">
      <c r="A9" s="6" t="s">
        <v>96</v>
      </c>
      <c r="B9" s="10" t="s">
        <v>97</v>
      </c>
      <c r="C9" s="4" t="s">
        <v>98</v>
      </c>
      <c r="D9" s="4" t="s">
        <v>82</v>
      </c>
      <c r="E9" s="4" t="s">
        <v>99</v>
      </c>
    </row>
    <row r="10" spans="1:20" ht="29.25">
      <c r="A10" s="8" t="s">
        <v>10</v>
      </c>
      <c r="B10" s="10" t="s">
        <v>100</v>
      </c>
      <c r="C10" s="4" t="s">
        <v>101</v>
      </c>
      <c r="D10" s="4" t="s">
        <v>82</v>
      </c>
      <c r="E10" s="4" t="s">
        <v>102</v>
      </c>
    </row>
    <row r="11" spans="1:20">
      <c r="A11" s="8" t="s">
        <v>11</v>
      </c>
      <c r="B11" s="10" t="s">
        <v>103</v>
      </c>
      <c r="C11" s="4" t="s">
        <v>104</v>
      </c>
      <c r="D11" s="4" t="s">
        <v>82</v>
      </c>
      <c r="E11" s="18" t="s">
        <v>105</v>
      </c>
    </row>
    <row r="12" spans="1:20" ht="29.25">
      <c r="A12" s="6" t="s">
        <v>12</v>
      </c>
      <c r="B12" s="16" t="s">
        <v>106</v>
      </c>
      <c r="C12" s="13" t="s">
        <v>107</v>
      </c>
      <c r="D12" s="4" t="s">
        <v>108</v>
      </c>
      <c r="E12" s="18" t="s">
        <v>109</v>
      </c>
    </row>
    <row r="13" spans="1:20" ht="29.25">
      <c r="A13" s="6" t="s">
        <v>110</v>
      </c>
      <c r="B13" s="12" t="s">
        <v>111</v>
      </c>
      <c r="C13" s="17" t="s">
        <v>101</v>
      </c>
      <c r="D13" s="25" t="s">
        <v>112</v>
      </c>
      <c r="E13" s="4" t="s">
        <v>113</v>
      </c>
    </row>
    <row r="14" spans="1:20" ht="29.25">
      <c r="A14" s="6" t="s">
        <v>114</v>
      </c>
      <c r="B14" s="12" t="s">
        <v>115</v>
      </c>
      <c r="C14" s="17" t="s">
        <v>101</v>
      </c>
      <c r="D14" s="25" t="s">
        <v>112</v>
      </c>
      <c r="E14" s="4" t="s">
        <v>113</v>
      </c>
    </row>
    <row r="15" spans="1:20" ht="29.25">
      <c r="A15" s="11" t="s">
        <v>14</v>
      </c>
      <c r="B15" s="27" t="s">
        <v>116</v>
      </c>
      <c r="C15" s="17" t="s">
        <v>101</v>
      </c>
      <c r="D15" s="25" t="s">
        <v>112</v>
      </c>
      <c r="E15" s="4" t="s">
        <v>113</v>
      </c>
    </row>
    <row r="16" spans="1:20">
      <c r="A16" t="s">
        <v>16</v>
      </c>
      <c r="B16" s="26" t="s">
        <v>117</v>
      </c>
      <c r="C16" s="17" t="s">
        <v>101</v>
      </c>
      <c r="D16" s="10" t="s">
        <v>118</v>
      </c>
      <c r="E16" s="4" t="s">
        <v>113</v>
      </c>
    </row>
    <row r="17" spans="1:5" ht="29.25">
      <c r="A17" s="6" t="s">
        <v>15</v>
      </c>
      <c r="B17" s="12" t="s">
        <v>119</v>
      </c>
      <c r="C17" s="17" t="s">
        <v>101</v>
      </c>
      <c r="D17" s="25" t="s">
        <v>112</v>
      </c>
      <c r="E17" s="18" t="s">
        <v>113</v>
      </c>
    </row>
    <row r="18" spans="1:5" ht="29.25">
      <c r="A18" s="13" t="s">
        <v>120</v>
      </c>
      <c r="B18" s="12" t="s">
        <v>121</v>
      </c>
      <c r="C18" s="17" t="s">
        <v>101</v>
      </c>
      <c r="D18" s="25" t="s">
        <v>112</v>
      </c>
      <c r="E18" s="4" t="s">
        <v>113</v>
      </c>
    </row>
    <row r="19" spans="1:5">
      <c r="A19" s="6" t="s">
        <v>17</v>
      </c>
      <c r="B19" s="12" t="s">
        <v>122</v>
      </c>
      <c r="C19" s="17" t="s">
        <v>101</v>
      </c>
      <c r="D19" s="43" t="s">
        <v>123</v>
      </c>
      <c r="E19" s="18" t="s">
        <v>124</v>
      </c>
    </row>
    <row r="20" spans="1:5">
      <c r="A20" s="6" t="s">
        <v>18</v>
      </c>
      <c r="B20" s="21" t="s">
        <v>125</v>
      </c>
      <c r="C20" s="44" t="s">
        <v>104</v>
      </c>
      <c r="D20" s="46" t="s">
        <v>126</v>
      </c>
      <c r="E20" s="12" t="s">
        <v>127</v>
      </c>
    </row>
    <row r="21" spans="1:5">
      <c r="A21" s="6" t="s">
        <v>128</v>
      </c>
      <c r="B21" s="12" t="s">
        <v>129</v>
      </c>
      <c r="C21" s="18" t="s">
        <v>107</v>
      </c>
      <c r="D21" s="46" t="s">
        <v>130</v>
      </c>
      <c r="E21" s="12" t="s">
        <v>131</v>
      </c>
    </row>
    <row r="22" spans="1:5" s="5" customFormat="1" ht="29.25">
      <c r="A22" s="5" t="s">
        <v>132</v>
      </c>
      <c r="B22" s="16" t="s">
        <v>133</v>
      </c>
      <c r="C22" s="21" t="s">
        <v>107</v>
      </c>
      <c r="D22" s="16" t="s">
        <v>134</v>
      </c>
      <c r="E22" s="21" t="s">
        <v>135</v>
      </c>
    </row>
    <row r="23" spans="1:5" ht="29.25">
      <c r="A23" s="21" t="s">
        <v>136</v>
      </c>
      <c r="B23" s="16" t="s">
        <v>137</v>
      </c>
      <c r="C23" s="12" t="s">
        <v>94</v>
      </c>
      <c r="D23" s="12" t="s">
        <v>138</v>
      </c>
      <c r="E23" s="12" t="s">
        <v>139</v>
      </c>
    </row>
    <row r="24" spans="1:5" ht="29.25">
      <c r="A24" s="12" t="s">
        <v>140</v>
      </c>
      <c r="B24" s="10" t="s">
        <v>141</v>
      </c>
      <c r="C24" s="12" t="s">
        <v>107</v>
      </c>
      <c r="D24" s="12" t="s">
        <v>142</v>
      </c>
      <c r="E24" s="12" t="s">
        <v>143</v>
      </c>
    </row>
    <row r="25" spans="1:5" ht="38.25" customHeight="1">
      <c r="A25" s="45" t="s">
        <v>23</v>
      </c>
      <c r="B25" s="47" t="s">
        <v>144</v>
      </c>
      <c r="C25" s="4" t="s">
        <v>73</v>
      </c>
      <c r="D25" s="4" t="s">
        <v>145</v>
      </c>
      <c r="E25" s="12" t="s">
        <v>146</v>
      </c>
    </row>
    <row r="26" spans="1:5">
      <c r="A26" s="6" t="s">
        <v>24</v>
      </c>
      <c r="B26" s="10" t="s">
        <v>147</v>
      </c>
      <c r="C26" s="4" t="s">
        <v>94</v>
      </c>
      <c r="D26" s="4" t="s">
        <v>148</v>
      </c>
      <c r="E26" s="12" t="s">
        <v>149</v>
      </c>
    </row>
    <row r="27" spans="1:5">
      <c r="A27" s="20" t="s">
        <v>25</v>
      </c>
      <c r="B27" s="16" t="s">
        <v>150</v>
      </c>
      <c r="C27" s="4" t="s">
        <v>107</v>
      </c>
      <c r="D27" s="4" t="s">
        <v>130</v>
      </c>
      <c r="E27" s="12" t="s">
        <v>151</v>
      </c>
    </row>
    <row r="28" spans="1:5" ht="58.5" customHeight="1">
      <c r="A28" s="11" t="s">
        <v>26</v>
      </c>
      <c r="B28" s="10" t="s">
        <v>152</v>
      </c>
      <c r="C28" s="12" t="s">
        <v>153</v>
      </c>
      <c r="D28" s="12" t="s">
        <v>154</v>
      </c>
      <c r="E28" s="4" t="s">
        <v>113</v>
      </c>
    </row>
    <row r="29" spans="1:5" ht="57.75">
      <c r="A29" s="22" t="s">
        <v>27</v>
      </c>
      <c r="B29" s="23" t="s">
        <v>155</v>
      </c>
      <c r="C29" s="24" t="s">
        <v>107</v>
      </c>
      <c r="D29" s="23" t="s">
        <v>154</v>
      </c>
      <c r="E29" s="23" t="s">
        <v>156</v>
      </c>
    </row>
    <row r="30" spans="1:5" ht="57.75">
      <c r="A30" s="14" t="s">
        <v>28</v>
      </c>
      <c r="B30" s="12" t="s">
        <v>157</v>
      </c>
      <c r="C30" s="17" t="s">
        <v>107</v>
      </c>
      <c r="D30" s="12" t="s">
        <v>154</v>
      </c>
      <c r="E30" s="4" t="s">
        <v>113</v>
      </c>
    </row>
    <row r="31" spans="1:5" ht="57.75">
      <c r="A31" s="14" t="s">
        <v>29</v>
      </c>
      <c r="B31" s="12" t="s">
        <v>158</v>
      </c>
      <c r="C31" s="17" t="s">
        <v>107</v>
      </c>
      <c r="D31" s="12" t="s">
        <v>154</v>
      </c>
      <c r="E31" s="12" t="s">
        <v>159</v>
      </c>
    </row>
    <row r="32" spans="1:5" ht="29.25">
      <c r="A32" s="14" t="s">
        <v>30</v>
      </c>
      <c r="B32" s="12" t="s">
        <v>160</v>
      </c>
      <c r="C32" s="15" t="s">
        <v>107</v>
      </c>
      <c r="D32" s="19" t="s">
        <v>130</v>
      </c>
      <c r="E32" s="19" t="s">
        <v>161</v>
      </c>
    </row>
    <row r="34" spans="1:5">
      <c r="A34" s="2"/>
      <c r="B34" s="2"/>
      <c r="C34" s="2"/>
      <c r="D34" s="2"/>
      <c r="E34" s="2"/>
    </row>
    <row r="35" spans="1:5">
      <c r="B35"/>
    </row>
    <row r="36" spans="1:5">
      <c r="A36" s="2"/>
      <c r="B36" s="2"/>
      <c r="C36" s="2"/>
      <c r="D36" s="2"/>
      <c r="E36" s="2"/>
    </row>
    <row r="37" spans="1:5">
      <c r="B37"/>
    </row>
    <row r="38" spans="1:5">
      <c r="A38" s="2"/>
      <c r="B38" s="2"/>
      <c r="C38" s="2"/>
      <c r="D38" s="2"/>
      <c r="E38" s="2"/>
    </row>
    <row r="39" spans="1:5">
      <c r="B3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2025-12-12T13:05:36Z</dcterms:created>
  <dcterms:modified xsi:type="dcterms:W3CDTF">2025-12-22T18:54:06Z</dcterms:modified>
  <cp:category/>
  <cp:contentStatus/>
</cp:coreProperties>
</file>